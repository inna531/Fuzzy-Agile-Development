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810fede36711e64/Документы/20_Магистерская диссертация/"/>
    </mc:Choice>
  </mc:AlternateContent>
  <xr:revisionPtr revIDLastSave="11" documentId="13_ncr:1_{FE65D114-0653-4CA3-8F8D-F02803EF9CE3}" xr6:coauthVersionLast="47" xr6:coauthVersionMax="47" xr10:uidLastSave="{CD1FCF4D-92E0-4132-9C19-3A46754F924A}"/>
  <bookViews>
    <workbookView xWindow="-120" yWindow="-120" windowWidth="20730" windowHeight="11040" tabRatio="839" activeTab="1" xr2:uid="{00000000-000D-0000-FFFF-FFFF00000000}"/>
  </bookViews>
  <sheets>
    <sheet name="Сравнение оценок" sheetId="25" r:id="rId1"/>
    <sheet name="Fuzzy_MoSCoW_коллект_взвеш ср" sheetId="12" r:id="rId2"/>
    <sheet name="Fuzzy_MoSCoW_коллект_Hsu 1996" sheetId="23" r:id="rId3"/>
    <sheet name="Fuzzy_MoSCoW_коллект_Chen1998" sheetId="24" r:id="rId4"/>
    <sheet name="Fuzzy_MoSCoW_колл_Lu 2006" sheetId="22" r:id="rId5"/>
    <sheet name="Четкий MoSCoW_коллект_взвеш ср" sheetId="9" r:id="rId6"/>
    <sheet name="Четкий MoSCoW_коллект_Hsu 1996" sheetId="14" r:id="rId7"/>
    <sheet name="Четкий MoSCoW_коллект_Chen 1998" sheetId="19" r:id="rId8"/>
    <sheet name="Четкий MoSCoW_коллект_Lu 2006" sheetId="21" r:id="rId9"/>
  </sheets>
  <definedNames>
    <definedName name="_Toc223326463" localSheetId="1">'Fuzzy_MoSCoW_коллект_взвеш ср'!$A$1</definedName>
    <definedName name="_Toc223326464" localSheetId="6">'Четкий MoSCoW_коллект_Hsu 1996'!$A$1</definedName>
    <definedName name="_Toc223326466" localSheetId="3">Fuzzy_MoSCoW_коллект_Chen1998!$A$1</definedName>
    <definedName name="_Toc223326467" localSheetId="4">'Fuzzy_MoSCoW_колл_Lu 2006'!$A$1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0" i="23" l="1"/>
  <c r="I245" i="24"/>
  <c r="D245" i="24"/>
  <c r="C189" i="24"/>
  <c r="C188" i="24"/>
  <c r="B184" i="24"/>
  <c r="C181" i="24" s="1"/>
  <c r="H162" i="24"/>
  <c r="G162" i="24"/>
  <c r="F162" i="24"/>
  <c r="E162" i="24"/>
  <c r="H159" i="24"/>
  <c r="G159" i="24"/>
  <c r="H158" i="24"/>
  <c r="G158" i="24"/>
  <c r="F158" i="24"/>
  <c r="E158" i="24"/>
  <c r="H155" i="24"/>
  <c r="G155" i="24"/>
  <c r="H154" i="24"/>
  <c r="G154" i="24"/>
  <c r="F154" i="24"/>
  <c r="E154" i="24"/>
  <c r="H151" i="24"/>
  <c r="G151" i="24"/>
  <c r="G141" i="24"/>
  <c r="K141" i="24" s="1"/>
  <c r="L141" i="24" s="1"/>
  <c r="F141" i="24"/>
  <c r="J141" i="24" s="1"/>
  <c r="I141" i="24" s="1"/>
  <c r="G140" i="24"/>
  <c r="K140" i="24" s="1"/>
  <c r="L140" i="24" s="1"/>
  <c r="F140" i="24"/>
  <c r="E140" i="24" s="1"/>
  <c r="G139" i="24"/>
  <c r="K139" i="24" s="1"/>
  <c r="L139" i="24" s="1"/>
  <c r="F139" i="24"/>
  <c r="J139" i="24" s="1"/>
  <c r="K138" i="24"/>
  <c r="J138" i="24"/>
  <c r="K134" i="24"/>
  <c r="J134" i="24"/>
  <c r="J162" i="24" s="1"/>
  <c r="G133" i="24"/>
  <c r="G161" i="24" s="1"/>
  <c r="F133" i="24"/>
  <c r="F161" i="24" s="1"/>
  <c r="G132" i="24"/>
  <c r="F132" i="24"/>
  <c r="F156" i="24" s="1"/>
  <c r="K131" i="24"/>
  <c r="F131" i="24"/>
  <c r="F151" i="24" s="1"/>
  <c r="BN127" i="24"/>
  <c r="BM127" i="24"/>
  <c r="X316" i="24" s="1"/>
  <c r="BL127" i="24"/>
  <c r="W176" i="24" s="1"/>
  <c r="BK127" i="24"/>
  <c r="BJ127" i="24"/>
  <c r="BI127" i="24"/>
  <c r="T316" i="24" s="1"/>
  <c r="BH127" i="24"/>
  <c r="S316" i="24" s="1"/>
  <c r="BG127" i="24"/>
  <c r="I127" i="24"/>
  <c r="H127" i="24"/>
  <c r="G127" i="24"/>
  <c r="BN126" i="24"/>
  <c r="BM126" i="24"/>
  <c r="BL126" i="24"/>
  <c r="W315" i="24" s="1"/>
  <c r="BK126" i="24"/>
  <c r="BJ126" i="24"/>
  <c r="BI126" i="24"/>
  <c r="BH126" i="24"/>
  <c r="S315" i="24" s="1"/>
  <c r="BG126" i="24"/>
  <c r="I126" i="24"/>
  <c r="H126" i="24"/>
  <c r="G126" i="24"/>
  <c r="BN125" i="24"/>
  <c r="BM125" i="24"/>
  <c r="BL125" i="24"/>
  <c r="W314" i="24" s="1"/>
  <c r="BK125" i="24"/>
  <c r="V314" i="24" s="1"/>
  <c r="BJ125" i="24"/>
  <c r="BI125" i="24"/>
  <c r="BH125" i="24"/>
  <c r="BG125" i="24"/>
  <c r="R314" i="24" s="1"/>
  <c r="I125" i="24"/>
  <c r="H125" i="24"/>
  <c r="G125" i="24"/>
  <c r="BN124" i="24"/>
  <c r="Y313" i="24" s="1"/>
  <c r="BM124" i="24"/>
  <c r="BL124" i="24"/>
  <c r="W313" i="24" s="1"/>
  <c r="BK124" i="24"/>
  <c r="BJ124" i="24"/>
  <c r="U313" i="24" s="1"/>
  <c r="BI124" i="24"/>
  <c r="BH124" i="24"/>
  <c r="S313" i="24" s="1"/>
  <c r="BG124" i="24"/>
  <c r="I124" i="24"/>
  <c r="H124" i="24"/>
  <c r="G124" i="24"/>
  <c r="BN123" i="24"/>
  <c r="Y172" i="24" s="1"/>
  <c r="BM123" i="24"/>
  <c r="X312" i="24" s="1"/>
  <c r="BL123" i="24"/>
  <c r="BK123" i="24"/>
  <c r="BJ123" i="24"/>
  <c r="BI123" i="24"/>
  <c r="T312" i="24" s="1"/>
  <c r="BH123" i="24"/>
  <c r="S312" i="24" s="1"/>
  <c r="BG123" i="24"/>
  <c r="I123" i="24"/>
  <c r="H123" i="24"/>
  <c r="G123" i="24"/>
  <c r="BN122" i="24"/>
  <c r="BM122" i="24"/>
  <c r="BL122" i="24"/>
  <c r="W311" i="24" s="1"/>
  <c r="BK122" i="24"/>
  <c r="BJ122" i="24"/>
  <c r="BI122" i="24"/>
  <c r="BH122" i="24"/>
  <c r="S311" i="24" s="1"/>
  <c r="BG122" i="24"/>
  <c r="I122" i="24"/>
  <c r="H122" i="24"/>
  <c r="G122" i="24"/>
  <c r="BN121" i="24"/>
  <c r="BM121" i="24"/>
  <c r="BL121" i="24"/>
  <c r="W310" i="24" s="1"/>
  <c r="BK121" i="24"/>
  <c r="V310" i="24" s="1"/>
  <c r="BJ121" i="24"/>
  <c r="BI121" i="24"/>
  <c r="BH121" i="24"/>
  <c r="BG121" i="24"/>
  <c r="R310" i="24" s="1"/>
  <c r="I121" i="24"/>
  <c r="H121" i="24"/>
  <c r="G121" i="24"/>
  <c r="BN120" i="24"/>
  <c r="BM120" i="24"/>
  <c r="BL120" i="24"/>
  <c r="W309" i="24" s="1"/>
  <c r="BK120" i="24"/>
  <c r="BJ120" i="24"/>
  <c r="BI120" i="24"/>
  <c r="BH120" i="24"/>
  <c r="S309" i="24" s="1"/>
  <c r="BG120" i="24"/>
  <c r="I120" i="24"/>
  <c r="H120" i="24"/>
  <c r="G120" i="24"/>
  <c r="BN119" i="24"/>
  <c r="BM119" i="24"/>
  <c r="BL119" i="24"/>
  <c r="W308" i="24" s="1"/>
  <c r="BK119" i="24"/>
  <c r="BJ119" i="24"/>
  <c r="BI119" i="24"/>
  <c r="T168" i="24" s="1"/>
  <c r="BH119" i="24"/>
  <c r="S308" i="24" s="1"/>
  <c r="BG119" i="24"/>
  <c r="I119" i="24"/>
  <c r="H119" i="24"/>
  <c r="G119" i="24"/>
  <c r="BN118" i="24"/>
  <c r="BM118" i="24"/>
  <c r="BL118" i="24"/>
  <c r="W307" i="24" s="1"/>
  <c r="BK118" i="24"/>
  <c r="BJ118" i="24"/>
  <c r="BI118" i="24"/>
  <c r="BH118" i="24"/>
  <c r="S307" i="24" s="1"/>
  <c r="BG118" i="24"/>
  <c r="I118" i="24"/>
  <c r="H118" i="24"/>
  <c r="G118" i="24"/>
  <c r="H110" i="24"/>
  <c r="G110" i="24"/>
  <c r="F110" i="24"/>
  <c r="E110" i="24"/>
  <c r="H107" i="24"/>
  <c r="G107" i="24"/>
  <c r="H106" i="24"/>
  <c r="G106" i="24"/>
  <c r="F106" i="24"/>
  <c r="E106" i="24"/>
  <c r="H103" i="24"/>
  <c r="G103" i="24"/>
  <c r="H102" i="24"/>
  <c r="G102" i="24"/>
  <c r="F102" i="24"/>
  <c r="E102" i="24"/>
  <c r="H99" i="24"/>
  <c r="G99" i="24"/>
  <c r="G89" i="24"/>
  <c r="K89" i="24" s="1"/>
  <c r="L89" i="24" s="1"/>
  <c r="F89" i="24"/>
  <c r="J89" i="24" s="1"/>
  <c r="I89" i="24" s="1"/>
  <c r="G88" i="24"/>
  <c r="K88" i="24" s="1"/>
  <c r="L88" i="24" s="1"/>
  <c r="F88" i="24"/>
  <c r="J88" i="24" s="1"/>
  <c r="I88" i="24" s="1"/>
  <c r="G87" i="24"/>
  <c r="K87" i="24" s="1"/>
  <c r="L87" i="24" s="1"/>
  <c r="F87" i="24"/>
  <c r="J87" i="24" s="1"/>
  <c r="K86" i="24"/>
  <c r="J86" i="24"/>
  <c r="K82" i="24"/>
  <c r="K110" i="24" s="1"/>
  <c r="J82" i="24"/>
  <c r="I110" i="24" s="1"/>
  <c r="G81" i="24"/>
  <c r="G109" i="24" s="1"/>
  <c r="F81" i="24"/>
  <c r="F109" i="24" s="1"/>
  <c r="G80" i="24"/>
  <c r="G108" i="24" s="1"/>
  <c r="F80" i="24"/>
  <c r="E108" i="24" s="1"/>
  <c r="K79" i="24"/>
  <c r="K107" i="24" s="1"/>
  <c r="F79" i="24"/>
  <c r="F107" i="24" s="1"/>
  <c r="BN75" i="24"/>
  <c r="BM75" i="24"/>
  <c r="BL75" i="24"/>
  <c r="O316" i="24" s="1"/>
  <c r="BK75" i="24"/>
  <c r="BJ75" i="24"/>
  <c r="BI75" i="24"/>
  <c r="BH75" i="24"/>
  <c r="K316" i="24" s="1"/>
  <c r="BG75" i="24"/>
  <c r="I75" i="24"/>
  <c r="H75" i="24"/>
  <c r="G75" i="24"/>
  <c r="BN74" i="24"/>
  <c r="Q175" i="24" s="1"/>
  <c r="BM74" i="24"/>
  <c r="BL74" i="24"/>
  <c r="O315" i="24" s="1"/>
  <c r="BK74" i="24"/>
  <c r="BJ74" i="24"/>
  <c r="BI74" i="24"/>
  <c r="BH74" i="24"/>
  <c r="K315" i="24" s="1"/>
  <c r="BG74" i="24"/>
  <c r="I74" i="24"/>
  <c r="H74" i="24"/>
  <c r="G74" i="24"/>
  <c r="BN73" i="24"/>
  <c r="BM73" i="24"/>
  <c r="BL73" i="24"/>
  <c r="O314" i="24" s="1"/>
  <c r="BK73" i="24"/>
  <c r="BJ73" i="24"/>
  <c r="BI73" i="24"/>
  <c r="BH73" i="24"/>
  <c r="K314" i="24" s="1"/>
  <c r="BG73" i="24"/>
  <c r="I73" i="24"/>
  <c r="H73" i="24"/>
  <c r="G73" i="24"/>
  <c r="BN72" i="24"/>
  <c r="BM72" i="24"/>
  <c r="BL72" i="24"/>
  <c r="O313" i="24" s="1"/>
  <c r="BK72" i="24"/>
  <c r="BJ72" i="24"/>
  <c r="BI72" i="24"/>
  <c r="BH72" i="24"/>
  <c r="K313" i="24" s="1"/>
  <c r="BG72" i="24"/>
  <c r="I72" i="24"/>
  <c r="H72" i="24"/>
  <c r="G72" i="24"/>
  <c r="BN71" i="24"/>
  <c r="BM71" i="24"/>
  <c r="BL71" i="24"/>
  <c r="O312" i="24" s="1"/>
  <c r="BK71" i="24"/>
  <c r="BJ71" i="24"/>
  <c r="BI71" i="24"/>
  <c r="BH71" i="24"/>
  <c r="K312" i="24" s="1"/>
  <c r="BG71" i="24"/>
  <c r="I71" i="24"/>
  <c r="H71" i="24"/>
  <c r="G71" i="24"/>
  <c r="BN70" i="24"/>
  <c r="BM70" i="24"/>
  <c r="BL70" i="24"/>
  <c r="O311" i="24" s="1"/>
  <c r="BK70" i="24"/>
  <c r="BJ70" i="24"/>
  <c r="BI70" i="24"/>
  <c r="BH70" i="24"/>
  <c r="K311" i="24" s="1"/>
  <c r="BG70" i="24"/>
  <c r="I70" i="24"/>
  <c r="H70" i="24"/>
  <c r="G70" i="24"/>
  <c r="BN69" i="24"/>
  <c r="BM69" i="24"/>
  <c r="BL69" i="24"/>
  <c r="O310" i="24" s="1"/>
  <c r="BK69" i="24"/>
  <c r="BJ69" i="24"/>
  <c r="BI69" i="24"/>
  <c r="BH69" i="24"/>
  <c r="K310" i="24" s="1"/>
  <c r="BG69" i="24"/>
  <c r="I69" i="24"/>
  <c r="H69" i="24"/>
  <c r="G69" i="24"/>
  <c r="BN68" i="24"/>
  <c r="BM68" i="24"/>
  <c r="BL68" i="24"/>
  <c r="O309" i="24" s="1"/>
  <c r="BK68" i="24"/>
  <c r="BJ68" i="24"/>
  <c r="BI68" i="24"/>
  <c r="L169" i="24" s="1"/>
  <c r="BH68" i="24"/>
  <c r="K309" i="24" s="1"/>
  <c r="BG68" i="24"/>
  <c r="I68" i="24"/>
  <c r="H68" i="24"/>
  <c r="G68" i="24"/>
  <c r="BN67" i="24"/>
  <c r="BM67" i="24"/>
  <c r="BL67" i="24"/>
  <c r="O308" i="24" s="1"/>
  <c r="BK67" i="24"/>
  <c r="BJ67" i="24"/>
  <c r="BI67" i="24"/>
  <c r="BH67" i="24"/>
  <c r="K308" i="24" s="1"/>
  <c r="BG67" i="24"/>
  <c r="I67" i="24"/>
  <c r="H67" i="24"/>
  <c r="G67" i="24"/>
  <c r="BN66" i="24"/>
  <c r="BM66" i="24"/>
  <c r="BL66" i="24"/>
  <c r="O307" i="24" s="1"/>
  <c r="BK66" i="24"/>
  <c r="BJ66" i="24"/>
  <c r="BI66" i="24"/>
  <c r="L167" i="24" s="1"/>
  <c r="BH66" i="24"/>
  <c r="K307" i="24" s="1"/>
  <c r="BG66" i="24"/>
  <c r="I66" i="24"/>
  <c r="H66" i="24"/>
  <c r="G66" i="24"/>
  <c r="H58" i="24"/>
  <c r="G58" i="24"/>
  <c r="F58" i="24"/>
  <c r="E58" i="24"/>
  <c r="H55" i="24"/>
  <c r="G55" i="24"/>
  <c r="H54" i="24"/>
  <c r="G54" i="24"/>
  <c r="F54" i="24"/>
  <c r="E54" i="24"/>
  <c r="H51" i="24"/>
  <c r="G51" i="24"/>
  <c r="H50" i="24"/>
  <c r="G50" i="24"/>
  <c r="F50" i="24"/>
  <c r="E50" i="24"/>
  <c r="H47" i="24"/>
  <c r="G47" i="24"/>
  <c r="G37" i="24"/>
  <c r="K37" i="24" s="1"/>
  <c r="L37" i="24" s="1"/>
  <c r="F37" i="24"/>
  <c r="J37" i="24" s="1"/>
  <c r="I37" i="24" s="1"/>
  <c r="G36" i="24"/>
  <c r="K36" i="24" s="1"/>
  <c r="L36" i="24" s="1"/>
  <c r="F36" i="24"/>
  <c r="J36" i="24" s="1"/>
  <c r="I36" i="24" s="1"/>
  <c r="G35" i="24"/>
  <c r="K35" i="24" s="1"/>
  <c r="L35" i="24" s="1"/>
  <c r="F35" i="24"/>
  <c r="J35" i="24" s="1"/>
  <c r="K34" i="24"/>
  <c r="J34" i="24"/>
  <c r="K30" i="24"/>
  <c r="L58" i="24" s="1"/>
  <c r="J30" i="24"/>
  <c r="J58" i="24" s="1"/>
  <c r="G29" i="24"/>
  <c r="K29" i="24" s="1"/>
  <c r="F29" i="24"/>
  <c r="F57" i="24" s="1"/>
  <c r="G28" i="24"/>
  <c r="G52" i="24" s="1"/>
  <c r="F28" i="24"/>
  <c r="F56" i="24" s="1"/>
  <c r="K27" i="24"/>
  <c r="L55" i="24" s="1"/>
  <c r="F27" i="24"/>
  <c r="F55" i="24" s="1"/>
  <c r="BN23" i="24"/>
  <c r="BM23" i="24"/>
  <c r="BL23" i="24"/>
  <c r="G316" i="24" s="1"/>
  <c r="BK23" i="24"/>
  <c r="BJ23" i="24"/>
  <c r="BI23" i="24"/>
  <c r="BH23" i="24"/>
  <c r="C316" i="24" s="1"/>
  <c r="BG23" i="24"/>
  <c r="I23" i="24"/>
  <c r="H23" i="24"/>
  <c r="G23" i="24"/>
  <c r="BN22" i="24"/>
  <c r="BM22" i="24"/>
  <c r="BL22" i="24"/>
  <c r="G315" i="24" s="1"/>
  <c r="BK22" i="24"/>
  <c r="BJ22" i="24"/>
  <c r="BI22" i="24"/>
  <c r="BH22" i="24"/>
  <c r="C315" i="24" s="1"/>
  <c r="BG22" i="24"/>
  <c r="I22" i="24"/>
  <c r="H22" i="24"/>
  <c r="G22" i="24"/>
  <c r="BN21" i="24"/>
  <c r="BM21" i="24"/>
  <c r="BL21" i="24"/>
  <c r="G314" i="24" s="1"/>
  <c r="BK21" i="24"/>
  <c r="BJ21" i="24"/>
  <c r="BI21" i="24"/>
  <c r="BH21" i="24"/>
  <c r="C314" i="24" s="1"/>
  <c r="BG21" i="24"/>
  <c r="I21" i="24"/>
  <c r="H21" i="24"/>
  <c r="G21" i="24"/>
  <c r="BN20" i="24"/>
  <c r="BM20" i="24"/>
  <c r="BL20" i="24"/>
  <c r="G313" i="24" s="1"/>
  <c r="BK20" i="24"/>
  <c r="BJ20" i="24"/>
  <c r="BI20" i="24"/>
  <c r="BH20" i="24"/>
  <c r="C313" i="24" s="1"/>
  <c r="BG20" i="24"/>
  <c r="I20" i="24"/>
  <c r="H20" i="24"/>
  <c r="G20" i="24"/>
  <c r="BN19" i="24"/>
  <c r="BM19" i="24"/>
  <c r="BL19" i="24"/>
  <c r="G312" i="24" s="1"/>
  <c r="BK19" i="24"/>
  <c r="BJ19" i="24"/>
  <c r="BI19" i="24"/>
  <c r="BH19" i="24"/>
  <c r="C312" i="24" s="1"/>
  <c r="BG19" i="24"/>
  <c r="I19" i="24"/>
  <c r="H19" i="24"/>
  <c r="G19" i="24"/>
  <c r="BN18" i="24"/>
  <c r="BM18" i="24"/>
  <c r="BL18" i="24"/>
  <c r="G311" i="24" s="1"/>
  <c r="BK18" i="24"/>
  <c r="F171" i="24" s="1"/>
  <c r="BJ18" i="24"/>
  <c r="BI18" i="24"/>
  <c r="BH18" i="24"/>
  <c r="C311" i="24" s="1"/>
  <c r="BG18" i="24"/>
  <c r="I18" i="24"/>
  <c r="H18" i="24"/>
  <c r="G18" i="24"/>
  <c r="BN17" i="24"/>
  <c r="BM17" i="24"/>
  <c r="BL17" i="24"/>
  <c r="G310" i="24" s="1"/>
  <c r="BK17" i="24"/>
  <c r="BJ17" i="24"/>
  <c r="BI17" i="24"/>
  <c r="D170" i="24" s="1"/>
  <c r="BH17" i="24"/>
  <c r="C310" i="24" s="1"/>
  <c r="BG17" i="24"/>
  <c r="I17" i="24"/>
  <c r="H17" i="24"/>
  <c r="G17" i="24"/>
  <c r="BN16" i="24"/>
  <c r="BM16" i="24"/>
  <c r="BL16" i="24"/>
  <c r="G309" i="24" s="1"/>
  <c r="BK16" i="24"/>
  <c r="BJ16" i="24"/>
  <c r="BI16" i="24"/>
  <c r="BH16" i="24"/>
  <c r="C309" i="24" s="1"/>
  <c r="BG16" i="24"/>
  <c r="I16" i="24"/>
  <c r="H16" i="24"/>
  <c r="G16" i="24"/>
  <c r="BN15" i="24"/>
  <c r="BM15" i="24"/>
  <c r="BL15" i="24"/>
  <c r="G308" i="24" s="1"/>
  <c r="BK15" i="24"/>
  <c r="BJ15" i="24"/>
  <c r="BI15" i="24"/>
  <c r="D168" i="24" s="1"/>
  <c r="BH15" i="24"/>
  <c r="C308" i="24" s="1"/>
  <c r="BG15" i="24"/>
  <c r="I15" i="24"/>
  <c r="H15" i="24"/>
  <c r="G15" i="24"/>
  <c r="BN14" i="24"/>
  <c r="BM14" i="24"/>
  <c r="BL14" i="24"/>
  <c r="G307" i="24" s="1"/>
  <c r="BK14" i="24"/>
  <c r="BJ14" i="24"/>
  <c r="BI14" i="24"/>
  <c r="BH14" i="24"/>
  <c r="C307" i="24" s="1"/>
  <c r="BG14" i="24"/>
  <c r="I14" i="24"/>
  <c r="H14" i="24"/>
  <c r="G14" i="24"/>
  <c r="I239" i="23"/>
  <c r="H239" i="23"/>
  <c r="G239" i="23"/>
  <c r="D239" i="23"/>
  <c r="C239" i="23"/>
  <c r="B239" i="23"/>
  <c r="B252" i="23" s="1"/>
  <c r="I238" i="23"/>
  <c r="H238" i="23"/>
  <c r="G238" i="23"/>
  <c r="D238" i="23"/>
  <c r="D251" i="23" s="1"/>
  <c r="C238" i="23"/>
  <c r="B238" i="23"/>
  <c r="B251" i="23" s="1"/>
  <c r="I237" i="23"/>
  <c r="H237" i="23"/>
  <c r="G237" i="23"/>
  <c r="D237" i="23"/>
  <c r="C237" i="23"/>
  <c r="B237" i="23"/>
  <c r="B250" i="23" s="1"/>
  <c r="I236" i="23"/>
  <c r="H236" i="23"/>
  <c r="G236" i="23"/>
  <c r="D236" i="23"/>
  <c r="D249" i="23" s="1"/>
  <c r="C236" i="23"/>
  <c r="B236" i="23"/>
  <c r="I235" i="23"/>
  <c r="H235" i="23"/>
  <c r="G235" i="23"/>
  <c r="D235" i="23"/>
  <c r="D248" i="23" s="1"/>
  <c r="C235" i="23"/>
  <c r="B235" i="23"/>
  <c r="B248" i="23" s="1"/>
  <c r="I234" i="23"/>
  <c r="H234" i="23"/>
  <c r="G234" i="23"/>
  <c r="D234" i="23"/>
  <c r="D247" i="23" s="1"/>
  <c r="C234" i="23"/>
  <c r="B234" i="23"/>
  <c r="I233" i="23"/>
  <c r="H233" i="23"/>
  <c r="G233" i="23"/>
  <c r="D233" i="23"/>
  <c r="D246" i="23" s="1"/>
  <c r="C233" i="23"/>
  <c r="B233" i="23"/>
  <c r="B246" i="23" s="1"/>
  <c r="I232" i="23"/>
  <c r="H232" i="23"/>
  <c r="G232" i="23"/>
  <c r="D232" i="23"/>
  <c r="D245" i="23" s="1"/>
  <c r="C232" i="23"/>
  <c r="B232" i="23"/>
  <c r="I231" i="23"/>
  <c r="H231" i="23"/>
  <c r="G231" i="23"/>
  <c r="D231" i="23"/>
  <c r="D244" i="23" s="1"/>
  <c r="C231" i="23"/>
  <c r="B231" i="23"/>
  <c r="B244" i="23" s="1"/>
  <c r="I230" i="23"/>
  <c r="H230" i="23"/>
  <c r="G230" i="23"/>
  <c r="D230" i="23"/>
  <c r="D243" i="23" s="1"/>
  <c r="C230" i="23"/>
  <c r="B177" i="23"/>
  <c r="C176" i="23" s="1"/>
  <c r="B169" i="23"/>
  <c r="C167" i="23" s="1"/>
  <c r="H162" i="23"/>
  <c r="G162" i="23"/>
  <c r="F162" i="23"/>
  <c r="E162" i="23"/>
  <c r="H159" i="23"/>
  <c r="G159" i="23"/>
  <c r="H158" i="23"/>
  <c r="G158" i="23"/>
  <c r="F158" i="23"/>
  <c r="E158" i="23"/>
  <c r="H155" i="23"/>
  <c r="G155" i="23"/>
  <c r="H154" i="23"/>
  <c r="G154" i="23"/>
  <c r="F154" i="23"/>
  <c r="E154" i="23"/>
  <c r="H151" i="23"/>
  <c r="G151" i="23"/>
  <c r="G141" i="23"/>
  <c r="H141" i="23" s="1"/>
  <c r="F141" i="23"/>
  <c r="J141" i="23" s="1"/>
  <c r="I141" i="23" s="1"/>
  <c r="G140" i="23"/>
  <c r="H140" i="23" s="1"/>
  <c r="F140" i="23"/>
  <c r="J140" i="23" s="1"/>
  <c r="I140" i="23" s="1"/>
  <c r="G139" i="23"/>
  <c r="K139" i="23" s="1"/>
  <c r="L139" i="23" s="1"/>
  <c r="F139" i="23"/>
  <c r="J139" i="23" s="1"/>
  <c r="K138" i="23"/>
  <c r="J138" i="23"/>
  <c r="K134" i="23"/>
  <c r="L162" i="23" s="1"/>
  <c r="J134" i="23"/>
  <c r="I162" i="23" s="1"/>
  <c r="G133" i="23"/>
  <c r="H161" i="23" s="1"/>
  <c r="F133" i="23"/>
  <c r="F161" i="23" s="1"/>
  <c r="G132" i="23"/>
  <c r="G156" i="23" s="1"/>
  <c r="F132" i="23"/>
  <c r="E160" i="23" s="1"/>
  <c r="K131" i="23"/>
  <c r="L159" i="23" s="1"/>
  <c r="F131" i="23"/>
  <c r="E151" i="23" s="1"/>
  <c r="BN127" i="23"/>
  <c r="Y292" i="23" s="1"/>
  <c r="BM127" i="23"/>
  <c r="X292" i="23" s="1"/>
  <c r="BL127" i="23"/>
  <c r="W292" i="23" s="1"/>
  <c r="BK127" i="23"/>
  <c r="V292" i="23" s="1"/>
  <c r="BJ127" i="23"/>
  <c r="U292" i="23" s="1"/>
  <c r="BI127" i="23"/>
  <c r="T292" i="23" s="1"/>
  <c r="BH127" i="23"/>
  <c r="S292" i="23" s="1"/>
  <c r="BG127" i="23"/>
  <c r="R292" i="23" s="1"/>
  <c r="I127" i="23"/>
  <c r="H127" i="23"/>
  <c r="G127" i="23"/>
  <c r="BN126" i="23"/>
  <c r="Y291" i="23" s="1"/>
  <c r="BM126" i="23"/>
  <c r="X291" i="23" s="1"/>
  <c r="BL126" i="23"/>
  <c r="BK126" i="23"/>
  <c r="V291" i="23" s="1"/>
  <c r="BJ126" i="23"/>
  <c r="U291" i="23" s="1"/>
  <c r="BI126" i="23"/>
  <c r="T291" i="23" s="1"/>
  <c r="BH126" i="23"/>
  <c r="BG126" i="23"/>
  <c r="R291" i="23" s="1"/>
  <c r="I126" i="23"/>
  <c r="H126" i="23"/>
  <c r="G126" i="23"/>
  <c r="BN125" i="23"/>
  <c r="Y290" i="23" s="1"/>
  <c r="BM125" i="23"/>
  <c r="X290" i="23" s="1"/>
  <c r="BL125" i="23"/>
  <c r="W290" i="23" s="1"/>
  <c r="BK125" i="23"/>
  <c r="BJ125" i="23"/>
  <c r="U290" i="23" s="1"/>
  <c r="BI125" i="23"/>
  <c r="T290" i="23" s="1"/>
  <c r="BH125" i="23"/>
  <c r="S290" i="23" s="1"/>
  <c r="BG125" i="23"/>
  <c r="R290" i="23" s="1"/>
  <c r="I125" i="23"/>
  <c r="H125" i="23"/>
  <c r="G125" i="23"/>
  <c r="BN124" i="23"/>
  <c r="Y289" i="23" s="1"/>
  <c r="BM124" i="23"/>
  <c r="X289" i="23" s="1"/>
  <c r="BL124" i="23"/>
  <c r="W289" i="23" s="1"/>
  <c r="BK124" i="23"/>
  <c r="V289" i="23" s="1"/>
  <c r="BJ124" i="23"/>
  <c r="U289" i="23" s="1"/>
  <c r="BI124" i="23"/>
  <c r="T289" i="23" s="1"/>
  <c r="BH124" i="23"/>
  <c r="S289" i="23" s="1"/>
  <c r="BG124" i="23"/>
  <c r="R289" i="23" s="1"/>
  <c r="I124" i="23"/>
  <c r="H124" i="23"/>
  <c r="G124" i="23"/>
  <c r="BN123" i="23"/>
  <c r="Y288" i="23" s="1"/>
  <c r="BM123" i="23"/>
  <c r="BL123" i="23"/>
  <c r="W288" i="23" s="1"/>
  <c r="BK123" i="23"/>
  <c r="V288" i="23" s="1"/>
  <c r="BJ123" i="23"/>
  <c r="U288" i="23" s="1"/>
  <c r="BI123" i="23"/>
  <c r="BH123" i="23"/>
  <c r="S288" i="23" s="1"/>
  <c r="BG123" i="23"/>
  <c r="R288" i="23" s="1"/>
  <c r="I123" i="23"/>
  <c r="H123" i="23"/>
  <c r="G123" i="23"/>
  <c r="BN122" i="23"/>
  <c r="Y287" i="23" s="1"/>
  <c r="BM122" i="23"/>
  <c r="X287" i="23" s="1"/>
  <c r="BL122" i="23"/>
  <c r="BK122" i="23"/>
  <c r="V287" i="23" s="1"/>
  <c r="BJ122" i="23"/>
  <c r="U287" i="23" s="1"/>
  <c r="BI122" i="23"/>
  <c r="T287" i="23" s="1"/>
  <c r="BH122" i="23"/>
  <c r="BG122" i="23"/>
  <c r="R287" i="23" s="1"/>
  <c r="I122" i="23"/>
  <c r="H122" i="23"/>
  <c r="G122" i="23"/>
  <c r="BN121" i="23"/>
  <c r="Y286" i="23" s="1"/>
  <c r="BM121" i="23"/>
  <c r="X286" i="23" s="1"/>
  <c r="BL121" i="23"/>
  <c r="W286" i="23" s="1"/>
  <c r="BK121" i="23"/>
  <c r="BJ121" i="23"/>
  <c r="U286" i="23" s="1"/>
  <c r="BI121" i="23"/>
  <c r="T286" i="23" s="1"/>
  <c r="BH121" i="23"/>
  <c r="S286" i="23" s="1"/>
  <c r="BG121" i="23"/>
  <c r="R286" i="23" s="1"/>
  <c r="I121" i="23"/>
  <c r="H121" i="23"/>
  <c r="G121" i="23"/>
  <c r="BN120" i="23"/>
  <c r="Y285" i="23" s="1"/>
  <c r="BM120" i="23"/>
  <c r="X285" i="23" s="1"/>
  <c r="BL120" i="23"/>
  <c r="W285" i="23" s="1"/>
  <c r="BK120" i="23"/>
  <c r="V285" i="23" s="1"/>
  <c r="BJ120" i="23"/>
  <c r="U285" i="23" s="1"/>
  <c r="BI120" i="23"/>
  <c r="T285" i="23" s="1"/>
  <c r="BH120" i="23"/>
  <c r="S285" i="23" s="1"/>
  <c r="BG120" i="23"/>
  <c r="R285" i="23" s="1"/>
  <c r="I120" i="23"/>
  <c r="H120" i="23"/>
  <c r="G120" i="23"/>
  <c r="BN119" i="23"/>
  <c r="Y284" i="23" s="1"/>
  <c r="BM119" i="23"/>
  <c r="BL119" i="23"/>
  <c r="W284" i="23" s="1"/>
  <c r="BK119" i="23"/>
  <c r="V284" i="23" s="1"/>
  <c r="BJ119" i="23"/>
  <c r="U284" i="23" s="1"/>
  <c r="BI119" i="23"/>
  <c r="BH119" i="23"/>
  <c r="S284" i="23" s="1"/>
  <c r="BG119" i="23"/>
  <c r="R284" i="23" s="1"/>
  <c r="I119" i="23"/>
  <c r="H119" i="23"/>
  <c r="G119" i="23"/>
  <c r="BN118" i="23"/>
  <c r="Y283" i="23" s="1"/>
  <c r="BM118" i="23"/>
  <c r="X283" i="23" s="1"/>
  <c r="BL118" i="23"/>
  <c r="BK118" i="23"/>
  <c r="V283" i="23" s="1"/>
  <c r="BJ118" i="23"/>
  <c r="U283" i="23" s="1"/>
  <c r="BI118" i="23"/>
  <c r="T283" i="23" s="1"/>
  <c r="BH118" i="23"/>
  <c r="BG118" i="23"/>
  <c r="R283" i="23" s="1"/>
  <c r="I118" i="23"/>
  <c r="H118" i="23"/>
  <c r="G118" i="23"/>
  <c r="H110" i="23"/>
  <c r="G110" i="23"/>
  <c r="F110" i="23"/>
  <c r="E110" i="23"/>
  <c r="H107" i="23"/>
  <c r="G107" i="23"/>
  <c r="H106" i="23"/>
  <c r="G106" i="23"/>
  <c r="F106" i="23"/>
  <c r="E106" i="23"/>
  <c r="H103" i="23"/>
  <c r="G103" i="23"/>
  <c r="H102" i="23"/>
  <c r="G102" i="23"/>
  <c r="F102" i="23"/>
  <c r="E102" i="23"/>
  <c r="H99" i="23"/>
  <c r="G99" i="23"/>
  <c r="G89" i="23"/>
  <c r="K89" i="23" s="1"/>
  <c r="L89" i="23" s="1"/>
  <c r="F89" i="23"/>
  <c r="E89" i="23" s="1"/>
  <c r="G88" i="23"/>
  <c r="K88" i="23" s="1"/>
  <c r="L88" i="23" s="1"/>
  <c r="F88" i="23"/>
  <c r="E88" i="23" s="1"/>
  <c r="G87" i="23"/>
  <c r="K87" i="23" s="1"/>
  <c r="L87" i="23" s="1"/>
  <c r="F87" i="23"/>
  <c r="J87" i="23" s="1"/>
  <c r="K86" i="23"/>
  <c r="J86" i="23"/>
  <c r="K82" i="23"/>
  <c r="K110" i="23" s="1"/>
  <c r="J82" i="23"/>
  <c r="I110" i="23" s="1"/>
  <c r="G81" i="23"/>
  <c r="G109" i="23" s="1"/>
  <c r="F81" i="23"/>
  <c r="F105" i="23" s="1"/>
  <c r="G80" i="23"/>
  <c r="G108" i="23" s="1"/>
  <c r="F80" i="23"/>
  <c r="E108" i="23" s="1"/>
  <c r="K79" i="23"/>
  <c r="F79" i="23"/>
  <c r="E107" i="23" s="1"/>
  <c r="BN75" i="23"/>
  <c r="Q292" i="23" s="1"/>
  <c r="BM75" i="23"/>
  <c r="P292" i="23" s="1"/>
  <c r="BL75" i="23"/>
  <c r="BK75" i="23"/>
  <c r="N292" i="23" s="1"/>
  <c r="BJ75" i="23"/>
  <c r="M292" i="23" s="1"/>
  <c r="BI75" i="23"/>
  <c r="L292" i="23" s="1"/>
  <c r="BH75" i="23"/>
  <c r="BG75" i="23"/>
  <c r="J292" i="23" s="1"/>
  <c r="I75" i="23"/>
  <c r="H75" i="23"/>
  <c r="G75" i="23"/>
  <c r="BN74" i="23"/>
  <c r="Q291" i="23" s="1"/>
  <c r="BM74" i="23"/>
  <c r="P291" i="23" s="1"/>
  <c r="BL74" i="23"/>
  <c r="O291" i="23" s="1"/>
  <c r="BK74" i="23"/>
  <c r="BJ74" i="23"/>
  <c r="M291" i="23" s="1"/>
  <c r="BI74" i="23"/>
  <c r="L291" i="23" s="1"/>
  <c r="BH74" i="23"/>
  <c r="K291" i="23" s="1"/>
  <c r="BG74" i="23"/>
  <c r="J291" i="23" s="1"/>
  <c r="I74" i="23"/>
  <c r="H74" i="23"/>
  <c r="G74" i="23"/>
  <c r="BN73" i="23"/>
  <c r="Q290" i="23" s="1"/>
  <c r="BM73" i="23"/>
  <c r="P290" i="23" s="1"/>
  <c r="BL73" i="23"/>
  <c r="O290" i="23" s="1"/>
  <c r="BK73" i="23"/>
  <c r="N290" i="23" s="1"/>
  <c r="BJ73" i="23"/>
  <c r="M290" i="23" s="1"/>
  <c r="BI73" i="23"/>
  <c r="L290" i="23" s="1"/>
  <c r="BH73" i="23"/>
  <c r="K290" i="23" s="1"/>
  <c r="BG73" i="23"/>
  <c r="J290" i="23" s="1"/>
  <c r="I73" i="23"/>
  <c r="H73" i="23"/>
  <c r="G73" i="23"/>
  <c r="BN72" i="23"/>
  <c r="Q289" i="23" s="1"/>
  <c r="BM72" i="23"/>
  <c r="BL72" i="23"/>
  <c r="O289" i="23" s="1"/>
  <c r="BK72" i="23"/>
  <c r="N289" i="23" s="1"/>
  <c r="BJ72" i="23"/>
  <c r="M289" i="23" s="1"/>
  <c r="BI72" i="23"/>
  <c r="BH72" i="23"/>
  <c r="K289" i="23" s="1"/>
  <c r="BG72" i="23"/>
  <c r="J289" i="23" s="1"/>
  <c r="I72" i="23"/>
  <c r="H72" i="23"/>
  <c r="G72" i="23"/>
  <c r="BN71" i="23"/>
  <c r="Q288" i="23" s="1"/>
  <c r="BM71" i="23"/>
  <c r="P288" i="23" s="1"/>
  <c r="BL71" i="23"/>
  <c r="BK71" i="23"/>
  <c r="N288" i="23" s="1"/>
  <c r="BJ71" i="23"/>
  <c r="M288" i="23" s="1"/>
  <c r="BI71" i="23"/>
  <c r="L288" i="23" s="1"/>
  <c r="BH71" i="23"/>
  <c r="BG71" i="23"/>
  <c r="J288" i="23" s="1"/>
  <c r="I71" i="23"/>
  <c r="H71" i="23"/>
  <c r="G71" i="23"/>
  <c r="BN70" i="23"/>
  <c r="Q287" i="23" s="1"/>
  <c r="BM70" i="23"/>
  <c r="P287" i="23" s="1"/>
  <c r="BL70" i="23"/>
  <c r="O287" i="23" s="1"/>
  <c r="BK70" i="23"/>
  <c r="BJ70" i="23"/>
  <c r="M287" i="23" s="1"/>
  <c r="BI70" i="23"/>
  <c r="L287" i="23" s="1"/>
  <c r="BH70" i="23"/>
  <c r="K287" i="23" s="1"/>
  <c r="BG70" i="23"/>
  <c r="J287" i="23" s="1"/>
  <c r="I70" i="23"/>
  <c r="H70" i="23"/>
  <c r="G70" i="23"/>
  <c r="BN69" i="23"/>
  <c r="Q286" i="23" s="1"/>
  <c r="BM69" i="23"/>
  <c r="P286" i="23" s="1"/>
  <c r="BL69" i="23"/>
  <c r="O286" i="23" s="1"/>
  <c r="BK69" i="23"/>
  <c r="N286" i="23" s="1"/>
  <c r="BJ69" i="23"/>
  <c r="BI69" i="23"/>
  <c r="L286" i="23" s="1"/>
  <c r="BH69" i="23"/>
  <c r="K286" i="23" s="1"/>
  <c r="BG69" i="23"/>
  <c r="J286" i="23" s="1"/>
  <c r="I69" i="23"/>
  <c r="H69" i="23"/>
  <c r="G69" i="23"/>
  <c r="BN68" i="23"/>
  <c r="Q285" i="23" s="1"/>
  <c r="BM68" i="23"/>
  <c r="BL68" i="23"/>
  <c r="O285" i="23" s="1"/>
  <c r="BK68" i="23"/>
  <c r="N285" i="23" s="1"/>
  <c r="BJ68" i="23"/>
  <c r="M285" i="23" s="1"/>
  <c r="BI68" i="23"/>
  <c r="BH68" i="23"/>
  <c r="K285" i="23" s="1"/>
  <c r="BG68" i="23"/>
  <c r="J285" i="23" s="1"/>
  <c r="I68" i="23"/>
  <c r="H68" i="23"/>
  <c r="G68" i="23"/>
  <c r="BN67" i="23"/>
  <c r="Q284" i="23" s="1"/>
  <c r="BM67" i="23"/>
  <c r="P284" i="23" s="1"/>
  <c r="BL67" i="23"/>
  <c r="BK67" i="23"/>
  <c r="N284" i="23" s="1"/>
  <c r="BJ67" i="23"/>
  <c r="M284" i="23" s="1"/>
  <c r="BI67" i="23"/>
  <c r="L284" i="23" s="1"/>
  <c r="BH67" i="23"/>
  <c r="BG67" i="23"/>
  <c r="J284" i="23" s="1"/>
  <c r="I67" i="23"/>
  <c r="H67" i="23"/>
  <c r="G67" i="23"/>
  <c r="BN66" i="23"/>
  <c r="Q283" i="23" s="1"/>
  <c r="BM66" i="23"/>
  <c r="P283" i="23" s="1"/>
  <c r="BL66" i="23"/>
  <c r="O283" i="23" s="1"/>
  <c r="BK66" i="23"/>
  <c r="BJ66" i="23"/>
  <c r="M283" i="23" s="1"/>
  <c r="BI66" i="23"/>
  <c r="L283" i="23" s="1"/>
  <c r="BH66" i="23"/>
  <c r="K283" i="23" s="1"/>
  <c r="BG66" i="23"/>
  <c r="J283" i="23" s="1"/>
  <c r="I66" i="23"/>
  <c r="H66" i="23"/>
  <c r="G66" i="23"/>
  <c r="H58" i="23"/>
  <c r="G58" i="23"/>
  <c r="F58" i="23"/>
  <c r="E58" i="23"/>
  <c r="H55" i="23"/>
  <c r="G55" i="23"/>
  <c r="H54" i="23"/>
  <c r="G54" i="23"/>
  <c r="F54" i="23"/>
  <c r="E54" i="23"/>
  <c r="H51" i="23"/>
  <c r="G51" i="23"/>
  <c r="H50" i="23"/>
  <c r="G50" i="23"/>
  <c r="F50" i="23"/>
  <c r="E50" i="23"/>
  <c r="H47" i="23"/>
  <c r="G47" i="23"/>
  <c r="G37" i="23"/>
  <c r="K37" i="23" s="1"/>
  <c r="L37" i="23" s="1"/>
  <c r="F37" i="23"/>
  <c r="J37" i="23" s="1"/>
  <c r="I37" i="23" s="1"/>
  <c r="G36" i="23"/>
  <c r="K36" i="23" s="1"/>
  <c r="L36" i="23" s="1"/>
  <c r="F36" i="23"/>
  <c r="J36" i="23" s="1"/>
  <c r="I36" i="23" s="1"/>
  <c r="G35" i="23"/>
  <c r="K35" i="23" s="1"/>
  <c r="L35" i="23" s="1"/>
  <c r="F35" i="23"/>
  <c r="J35" i="23" s="1"/>
  <c r="K34" i="23"/>
  <c r="J34" i="23"/>
  <c r="K30" i="23"/>
  <c r="L58" i="23" s="1"/>
  <c r="J30" i="23"/>
  <c r="I58" i="23" s="1"/>
  <c r="G29" i="23"/>
  <c r="H57" i="23" s="1"/>
  <c r="F29" i="23"/>
  <c r="J29" i="23" s="1"/>
  <c r="G28" i="23"/>
  <c r="H28" i="23" s="1"/>
  <c r="F28" i="23"/>
  <c r="F56" i="23" s="1"/>
  <c r="K27" i="23"/>
  <c r="L55" i="23" s="1"/>
  <c r="F27" i="23"/>
  <c r="F55" i="23" s="1"/>
  <c r="BN23" i="23"/>
  <c r="I292" i="23" s="1"/>
  <c r="BM23" i="23"/>
  <c r="H292" i="23" s="1"/>
  <c r="BL23" i="23"/>
  <c r="G292" i="23" s="1"/>
  <c r="BK23" i="23"/>
  <c r="F292" i="23" s="1"/>
  <c r="BJ23" i="23"/>
  <c r="E292" i="23" s="1"/>
  <c r="BI23" i="23"/>
  <c r="D292" i="23" s="1"/>
  <c r="BH23" i="23"/>
  <c r="C292" i="23" s="1"/>
  <c r="BG23" i="23"/>
  <c r="B292" i="23" s="1"/>
  <c r="I23" i="23"/>
  <c r="H23" i="23"/>
  <c r="G23" i="23"/>
  <c r="BN22" i="23"/>
  <c r="I291" i="23" s="1"/>
  <c r="BM22" i="23"/>
  <c r="H291" i="23" s="1"/>
  <c r="BL22" i="23"/>
  <c r="G291" i="23" s="1"/>
  <c r="BK22" i="23"/>
  <c r="F291" i="23" s="1"/>
  <c r="BJ22" i="23"/>
  <c r="E291" i="23" s="1"/>
  <c r="BI22" i="23"/>
  <c r="D291" i="23" s="1"/>
  <c r="BH22" i="23"/>
  <c r="C291" i="23" s="1"/>
  <c r="BG22" i="23"/>
  <c r="B291" i="23" s="1"/>
  <c r="I22" i="23"/>
  <c r="H22" i="23"/>
  <c r="G22" i="23"/>
  <c r="BN21" i="23"/>
  <c r="I290" i="23" s="1"/>
  <c r="BM21" i="23"/>
  <c r="H290" i="23" s="1"/>
  <c r="BL21" i="23"/>
  <c r="G290" i="23" s="1"/>
  <c r="BK21" i="23"/>
  <c r="F290" i="23" s="1"/>
  <c r="BJ21" i="23"/>
  <c r="E290" i="23" s="1"/>
  <c r="BI21" i="23"/>
  <c r="D290" i="23" s="1"/>
  <c r="BH21" i="23"/>
  <c r="C290" i="23" s="1"/>
  <c r="BG21" i="23"/>
  <c r="B290" i="23" s="1"/>
  <c r="I21" i="23"/>
  <c r="H21" i="23"/>
  <c r="G21" i="23"/>
  <c r="BN20" i="23"/>
  <c r="I289" i="23" s="1"/>
  <c r="BM20" i="23"/>
  <c r="H289" i="23" s="1"/>
  <c r="BL20" i="23"/>
  <c r="G289" i="23" s="1"/>
  <c r="BK20" i="23"/>
  <c r="F289" i="23" s="1"/>
  <c r="BJ20" i="23"/>
  <c r="E289" i="23" s="1"/>
  <c r="BI20" i="23"/>
  <c r="D289" i="23" s="1"/>
  <c r="BH20" i="23"/>
  <c r="C289" i="23" s="1"/>
  <c r="BG20" i="23"/>
  <c r="B289" i="23" s="1"/>
  <c r="I20" i="23"/>
  <c r="H20" i="23"/>
  <c r="G20" i="23"/>
  <c r="BN19" i="23"/>
  <c r="I288" i="23" s="1"/>
  <c r="BM19" i="23"/>
  <c r="H288" i="23" s="1"/>
  <c r="BL19" i="23"/>
  <c r="G288" i="23" s="1"/>
  <c r="BK19" i="23"/>
  <c r="F288" i="23" s="1"/>
  <c r="BJ19" i="23"/>
  <c r="E288" i="23" s="1"/>
  <c r="BI19" i="23"/>
  <c r="D288" i="23" s="1"/>
  <c r="BH19" i="23"/>
  <c r="C288" i="23" s="1"/>
  <c r="BG19" i="23"/>
  <c r="B288" i="23" s="1"/>
  <c r="I19" i="23"/>
  <c r="H19" i="23"/>
  <c r="G19" i="23"/>
  <c r="BN18" i="23"/>
  <c r="I287" i="23" s="1"/>
  <c r="BM18" i="23"/>
  <c r="H287" i="23" s="1"/>
  <c r="BL18" i="23"/>
  <c r="G287" i="23" s="1"/>
  <c r="BK18" i="23"/>
  <c r="F287" i="23" s="1"/>
  <c r="BJ18" i="23"/>
  <c r="E287" i="23" s="1"/>
  <c r="BI18" i="23"/>
  <c r="D287" i="23" s="1"/>
  <c r="BH18" i="23"/>
  <c r="C287" i="23" s="1"/>
  <c r="BG18" i="23"/>
  <c r="B287" i="23" s="1"/>
  <c r="I18" i="23"/>
  <c r="H18" i="23"/>
  <c r="G18" i="23"/>
  <c r="BN17" i="23"/>
  <c r="I286" i="23" s="1"/>
  <c r="BM17" i="23"/>
  <c r="H286" i="23" s="1"/>
  <c r="BL17" i="23"/>
  <c r="G286" i="23" s="1"/>
  <c r="BK17" i="23"/>
  <c r="F286" i="23" s="1"/>
  <c r="BJ17" i="23"/>
  <c r="E286" i="23" s="1"/>
  <c r="BI17" i="23"/>
  <c r="D286" i="23" s="1"/>
  <c r="BH17" i="23"/>
  <c r="C286" i="23" s="1"/>
  <c r="BG17" i="23"/>
  <c r="B286" i="23" s="1"/>
  <c r="I17" i="23"/>
  <c r="H17" i="23"/>
  <c r="G17" i="23"/>
  <c r="BN16" i="23"/>
  <c r="I285" i="23" s="1"/>
  <c r="BM16" i="23"/>
  <c r="H285" i="23" s="1"/>
  <c r="BL16" i="23"/>
  <c r="G285" i="23" s="1"/>
  <c r="BK16" i="23"/>
  <c r="F285" i="23" s="1"/>
  <c r="BJ16" i="23"/>
  <c r="E285" i="23" s="1"/>
  <c r="BI16" i="23"/>
  <c r="D285" i="23" s="1"/>
  <c r="BH16" i="23"/>
  <c r="C285" i="23" s="1"/>
  <c r="BG16" i="23"/>
  <c r="B285" i="23" s="1"/>
  <c r="I16" i="23"/>
  <c r="H16" i="23"/>
  <c r="G16" i="23"/>
  <c r="BN15" i="23"/>
  <c r="I284" i="23" s="1"/>
  <c r="BM15" i="23"/>
  <c r="H284" i="23" s="1"/>
  <c r="BL15" i="23"/>
  <c r="G284" i="23" s="1"/>
  <c r="BK15" i="23"/>
  <c r="F284" i="23" s="1"/>
  <c r="BJ15" i="23"/>
  <c r="E284" i="23" s="1"/>
  <c r="BI15" i="23"/>
  <c r="D284" i="23" s="1"/>
  <c r="BH15" i="23"/>
  <c r="C284" i="23" s="1"/>
  <c r="BG15" i="23"/>
  <c r="B284" i="23" s="1"/>
  <c r="I15" i="23"/>
  <c r="H15" i="23"/>
  <c r="G15" i="23"/>
  <c r="BN14" i="23"/>
  <c r="I283" i="23" s="1"/>
  <c r="BM14" i="23"/>
  <c r="H283" i="23" s="1"/>
  <c r="BL14" i="23"/>
  <c r="G283" i="23" s="1"/>
  <c r="BK14" i="23"/>
  <c r="F283" i="23" s="1"/>
  <c r="BJ14" i="23"/>
  <c r="E283" i="23" s="1"/>
  <c r="BI14" i="23"/>
  <c r="D283" i="23" s="1"/>
  <c r="BH14" i="23"/>
  <c r="C283" i="23" s="1"/>
  <c r="BG14" i="23"/>
  <c r="B283" i="23" s="1"/>
  <c r="I14" i="23"/>
  <c r="H14" i="23"/>
  <c r="G14" i="23"/>
  <c r="D252" i="23" l="1"/>
  <c r="C243" i="23"/>
  <c r="C245" i="23"/>
  <c r="C247" i="23"/>
  <c r="C249" i="23"/>
  <c r="C251" i="23"/>
  <c r="B264" i="23"/>
  <c r="B247" i="23"/>
  <c r="D260" i="23" s="1"/>
  <c r="D273" i="23" s="1"/>
  <c r="D250" i="23"/>
  <c r="D264" i="23"/>
  <c r="C264" i="23"/>
  <c r="C244" i="23"/>
  <c r="C246" i="23"/>
  <c r="C248" i="23"/>
  <c r="C261" i="23" s="1"/>
  <c r="C250" i="23"/>
  <c r="C252" i="23"/>
  <c r="C265" i="23" s="1"/>
  <c r="B243" i="23"/>
  <c r="B256" i="23" s="1"/>
  <c r="B245" i="23"/>
  <c r="B258" i="23" s="1"/>
  <c r="B249" i="23"/>
  <c r="J132" i="24"/>
  <c r="BR127" i="24"/>
  <c r="BR15" i="24"/>
  <c r="E36" i="24"/>
  <c r="BR70" i="24"/>
  <c r="BQ72" i="24"/>
  <c r="BP22" i="24"/>
  <c r="L99" i="24"/>
  <c r="J119" i="24"/>
  <c r="J120" i="24"/>
  <c r="BP120" i="24"/>
  <c r="J125" i="24"/>
  <c r="BR118" i="24"/>
  <c r="BR122" i="24"/>
  <c r="E152" i="24"/>
  <c r="BR23" i="24"/>
  <c r="BO17" i="24"/>
  <c r="BQ17" i="24"/>
  <c r="J20" i="24"/>
  <c r="J23" i="24"/>
  <c r="BR66" i="24"/>
  <c r="BP67" i="24"/>
  <c r="J75" i="24"/>
  <c r="E160" i="24"/>
  <c r="O171" i="24"/>
  <c r="BP18" i="24"/>
  <c r="E51" i="24"/>
  <c r="BP73" i="24"/>
  <c r="BP127" i="24"/>
  <c r="J133" i="24"/>
  <c r="I133" i="24" s="1"/>
  <c r="I153" i="24" s="1"/>
  <c r="J14" i="24"/>
  <c r="BP14" i="24"/>
  <c r="J68" i="24"/>
  <c r="J69" i="24"/>
  <c r="BP69" i="24"/>
  <c r="J118" i="24"/>
  <c r="F152" i="24"/>
  <c r="J158" i="24"/>
  <c r="F160" i="24"/>
  <c r="O173" i="24"/>
  <c r="I158" i="24"/>
  <c r="J16" i="24"/>
  <c r="BQ19" i="24"/>
  <c r="K55" i="24"/>
  <c r="J67" i="24"/>
  <c r="J71" i="24"/>
  <c r="BP72" i="24"/>
  <c r="BQ74" i="24"/>
  <c r="J121" i="24"/>
  <c r="BP123" i="24"/>
  <c r="I154" i="24"/>
  <c r="E156" i="24"/>
  <c r="I162" i="24"/>
  <c r="S175" i="24"/>
  <c r="BQ23" i="24"/>
  <c r="E29" i="24"/>
  <c r="E57" i="24" s="1"/>
  <c r="K47" i="24"/>
  <c r="J66" i="24"/>
  <c r="J154" i="24"/>
  <c r="H101" i="24"/>
  <c r="F104" i="24"/>
  <c r="W168" i="24"/>
  <c r="BR20" i="24"/>
  <c r="K54" i="24"/>
  <c r="BR75" i="24"/>
  <c r="K81" i="24"/>
  <c r="K101" i="24" s="1"/>
  <c r="H105" i="24"/>
  <c r="BP124" i="24"/>
  <c r="BP125" i="24"/>
  <c r="H139" i="24"/>
  <c r="H141" i="24"/>
  <c r="O169" i="24"/>
  <c r="S171" i="24"/>
  <c r="G174" i="24"/>
  <c r="W175" i="24"/>
  <c r="L309" i="24"/>
  <c r="H109" i="24"/>
  <c r="BQ15" i="24"/>
  <c r="BP16" i="24"/>
  <c r="J19" i="24"/>
  <c r="J21" i="24"/>
  <c r="J22" i="24"/>
  <c r="J27" i="24"/>
  <c r="J55" i="24" s="1"/>
  <c r="H28" i="24"/>
  <c r="H56" i="24" s="1"/>
  <c r="H35" i="24"/>
  <c r="E47" i="24"/>
  <c r="G48" i="24"/>
  <c r="E55" i="24"/>
  <c r="G56" i="24"/>
  <c r="BQ70" i="24"/>
  <c r="BR71" i="24"/>
  <c r="J74" i="24"/>
  <c r="J80" i="24"/>
  <c r="J108" i="24" s="1"/>
  <c r="H89" i="24"/>
  <c r="E100" i="24"/>
  <c r="I102" i="24"/>
  <c r="L103" i="24"/>
  <c r="L107" i="24"/>
  <c r="J110" i="24"/>
  <c r="BP118" i="24"/>
  <c r="BP121" i="24"/>
  <c r="J124" i="24"/>
  <c r="J126" i="24"/>
  <c r="J127" i="24"/>
  <c r="E133" i="24"/>
  <c r="E161" i="24" s="1"/>
  <c r="K133" i="24"/>
  <c r="L157" i="24" s="1"/>
  <c r="H140" i="24"/>
  <c r="F153" i="24"/>
  <c r="F157" i="24"/>
  <c r="O167" i="24"/>
  <c r="G170" i="24"/>
  <c r="W171" i="24"/>
  <c r="W174" i="24"/>
  <c r="G176" i="24"/>
  <c r="Q315" i="24"/>
  <c r="J15" i="24"/>
  <c r="J17" i="24"/>
  <c r="J18" i="24"/>
  <c r="BR19" i="24"/>
  <c r="BP21" i="24"/>
  <c r="K28" i="24"/>
  <c r="K56" i="24" s="1"/>
  <c r="J29" i="24"/>
  <c r="J57" i="24" s="1"/>
  <c r="E37" i="24"/>
  <c r="K50" i="24"/>
  <c r="K51" i="24"/>
  <c r="K58" i="24"/>
  <c r="BQ66" i="24"/>
  <c r="J70" i="24"/>
  <c r="J72" i="24"/>
  <c r="J73" i="24"/>
  <c r="BR74" i="24"/>
  <c r="H88" i="24"/>
  <c r="F100" i="24"/>
  <c r="J102" i="24"/>
  <c r="E104" i="24"/>
  <c r="J106" i="24"/>
  <c r="F108" i="24"/>
  <c r="J122" i="24"/>
  <c r="J123" i="24"/>
  <c r="H153" i="24"/>
  <c r="H157" i="24"/>
  <c r="H161" i="24"/>
  <c r="G168" i="24"/>
  <c r="W170" i="24"/>
  <c r="G172" i="24"/>
  <c r="O175" i="24"/>
  <c r="C182" i="24"/>
  <c r="K53" i="24"/>
  <c r="K57" i="24"/>
  <c r="K49" i="24"/>
  <c r="L57" i="24"/>
  <c r="L53" i="24"/>
  <c r="L49" i="24"/>
  <c r="V308" i="24"/>
  <c r="V168" i="24"/>
  <c r="W312" i="24"/>
  <c r="BQ123" i="24"/>
  <c r="X315" i="24"/>
  <c r="X175" i="24"/>
  <c r="BR126" i="24"/>
  <c r="G160" i="24"/>
  <c r="G156" i="24"/>
  <c r="G152" i="24"/>
  <c r="K132" i="24"/>
  <c r="J140" i="24"/>
  <c r="I140" i="24" s="1"/>
  <c r="D307" i="24"/>
  <c r="D167" i="24"/>
  <c r="H307" i="24"/>
  <c r="H167" i="24"/>
  <c r="BQ14" i="24"/>
  <c r="E308" i="24"/>
  <c r="E168" i="24"/>
  <c r="I308" i="24"/>
  <c r="I168" i="24"/>
  <c r="B309" i="24"/>
  <c r="B169" i="24"/>
  <c r="F309" i="24"/>
  <c r="F169" i="24"/>
  <c r="BO16" i="24"/>
  <c r="BP17" i="24"/>
  <c r="D311" i="24"/>
  <c r="D171" i="24"/>
  <c r="H311" i="24"/>
  <c r="H171" i="24"/>
  <c r="BQ18" i="24"/>
  <c r="E312" i="24"/>
  <c r="E172" i="24"/>
  <c r="I312" i="24"/>
  <c r="I172" i="24"/>
  <c r="B313" i="24"/>
  <c r="B173" i="24"/>
  <c r="F313" i="24"/>
  <c r="F173" i="24"/>
  <c r="BO20" i="24"/>
  <c r="D315" i="24"/>
  <c r="D175" i="24"/>
  <c r="H315" i="24"/>
  <c r="H175" i="24"/>
  <c r="BQ22" i="24"/>
  <c r="E316" i="24"/>
  <c r="E176" i="24"/>
  <c r="I176" i="24"/>
  <c r="I316" i="24"/>
  <c r="H36" i="24"/>
  <c r="H37" i="24"/>
  <c r="L47" i="24"/>
  <c r="H49" i="24"/>
  <c r="L50" i="24"/>
  <c r="L51" i="24"/>
  <c r="H53" i="24"/>
  <c r="L54" i="24"/>
  <c r="H57" i="24"/>
  <c r="M307" i="24"/>
  <c r="M167" i="24"/>
  <c r="Q307" i="24"/>
  <c r="Q167" i="24"/>
  <c r="J308" i="24"/>
  <c r="J168" i="24"/>
  <c r="N308" i="24"/>
  <c r="N168" i="24"/>
  <c r="BO67" i="24"/>
  <c r="BP68" i="24"/>
  <c r="L310" i="24"/>
  <c r="L170" i="24"/>
  <c r="P310" i="24"/>
  <c r="P170" i="24"/>
  <c r="BQ69" i="24"/>
  <c r="M311" i="24"/>
  <c r="M171" i="24"/>
  <c r="Q311" i="24"/>
  <c r="Q171" i="24"/>
  <c r="J312" i="24"/>
  <c r="J172" i="24"/>
  <c r="N312" i="24"/>
  <c r="N172" i="24"/>
  <c r="BO71" i="24"/>
  <c r="L314" i="24"/>
  <c r="L174" i="24"/>
  <c r="P314" i="24"/>
  <c r="P174" i="24"/>
  <c r="BQ73" i="24"/>
  <c r="M315" i="24"/>
  <c r="M175" i="24"/>
  <c r="J316" i="24"/>
  <c r="J176" i="24"/>
  <c r="N316" i="24"/>
  <c r="N176" i="24"/>
  <c r="BO75" i="24"/>
  <c r="J79" i="24"/>
  <c r="H80" i="24"/>
  <c r="H104" i="24" s="1"/>
  <c r="E81" i="24"/>
  <c r="J81" i="24"/>
  <c r="H87" i="24"/>
  <c r="E88" i="24"/>
  <c r="E89" i="24"/>
  <c r="E99" i="24"/>
  <c r="E103" i="24"/>
  <c r="I106" i="24"/>
  <c r="E107" i="24"/>
  <c r="R307" i="24"/>
  <c r="R167" i="24"/>
  <c r="V307" i="24"/>
  <c r="V167" i="24"/>
  <c r="BO118" i="24"/>
  <c r="BP119" i="24"/>
  <c r="T309" i="24"/>
  <c r="T169" i="24"/>
  <c r="X309" i="24"/>
  <c r="X169" i="24"/>
  <c r="BR120" i="24"/>
  <c r="BQ120" i="24"/>
  <c r="U311" i="24"/>
  <c r="U171" i="24"/>
  <c r="Y311" i="24"/>
  <c r="Y171" i="24"/>
  <c r="BR123" i="24"/>
  <c r="T313" i="24"/>
  <c r="T173" i="24"/>
  <c r="X313" i="24"/>
  <c r="X173" i="24"/>
  <c r="BR124" i="24"/>
  <c r="BQ124" i="24"/>
  <c r="U315" i="24"/>
  <c r="U175" i="24"/>
  <c r="Y315" i="24"/>
  <c r="Y175" i="24"/>
  <c r="J131" i="24"/>
  <c r="H132" i="24"/>
  <c r="H152" i="24" s="1"/>
  <c r="E141" i="24"/>
  <c r="F155" i="24"/>
  <c r="F159" i="24"/>
  <c r="C167" i="24"/>
  <c r="S167" i="24"/>
  <c r="K168" i="24"/>
  <c r="C169" i="24"/>
  <c r="S169" i="24"/>
  <c r="K170" i="24"/>
  <c r="C171" i="24"/>
  <c r="K172" i="24"/>
  <c r="C173" i="24"/>
  <c r="S173" i="24"/>
  <c r="K174" i="24"/>
  <c r="C175" i="24"/>
  <c r="K176" i="24"/>
  <c r="L307" i="24"/>
  <c r="D310" i="24"/>
  <c r="E313" i="24"/>
  <c r="E173" i="24"/>
  <c r="F314" i="24"/>
  <c r="F174" i="24"/>
  <c r="H316" i="24"/>
  <c r="H176" i="24"/>
  <c r="P307" i="24"/>
  <c r="P167" i="24"/>
  <c r="N309" i="24"/>
  <c r="N169" i="24"/>
  <c r="L311" i="24"/>
  <c r="L171" i="24"/>
  <c r="P311" i="24"/>
  <c r="P171" i="24"/>
  <c r="M312" i="24"/>
  <c r="M172" i="24"/>
  <c r="J313" i="24"/>
  <c r="J173" i="24"/>
  <c r="BO72" i="24"/>
  <c r="P315" i="24"/>
  <c r="P175" i="24"/>
  <c r="M316" i="24"/>
  <c r="M176" i="24"/>
  <c r="L102" i="24"/>
  <c r="U310" i="24"/>
  <c r="U170" i="24"/>
  <c r="T311" i="24"/>
  <c r="T171" i="24"/>
  <c r="BP122" i="24"/>
  <c r="Y314" i="24"/>
  <c r="Y174" i="24"/>
  <c r="E307" i="24"/>
  <c r="E167" i="24"/>
  <c r="I307" i="24"/>
  <c r="I167" i="24"/>
  <c r="BR14" i="24"/>
  <c r="B308" i="24"/>
  <c r="B168" i="24"/>
  <c r="F308" i="24"/>
  <c r="F168" i="24"/>
  <c r="BO15" i="24"/>
  <c r="H310" i="24"/>
  <c r="H170" i="24"/>
  <c r="E311" i="24"/>
  <c r="E171" i="24"/>
  <c r="I311" i="24"/>
  <c r="I171" i="24"/>
  <c r="BR18" i="24"/>
  <c r="B312" i="24"/>
  <c r="B172" i="24"/>
  <c r="F312" i="24"/>
  <c r="F172" i="24"/>
  <c r="BO19" i="24"/>
  <c r="BP20" i="24"/>
  <c r="D314" i="24"/>
  <c r="D174" i="24"/>
  <c r="H314" i="24"/>
  <c r="H174" i="24"/>
  <c r="BQ21" i="24"/>
  <c r="E315" i="24"/>
  <c r="E175" i="24"/>
  <c r="I315" i="24"/>
  <c r="I175" i="24"/>
  <c r="BR22" i="24"/>
  <c r="B316" i="24"/>
  <c r="B176" i="24"/>
  <c r="F316" i="24"/>
  <c r="F176" i="24"/>
  <c r="BO23" i="24"/>
  <c r="E48" i="24"/>
  <c r="I50" i="24"/>
  <c r="E52" i="24"/>
  <c r="I54" i="24"/>
  <c r="E56" i="24"/>
  <c r="I58" i="24"/>
  <c r="J307" i="24"/>
  <c r="J167" i="24"/>
  <c r="N307" i="24"/>
  <c r="N167" i="24"/>
  <c r="BO66" i="24"/>
  <c r="P309" i="24"/>
  <c r="P169" i="24"/>
  <c r="BQ68" i="24"/>
  <c r="M310" i="24"/>
  <c r="M170" i="24"/>
  <c r="Q310" i="24"/>
  <c r="Q170" i="24"/>
  <c r="BR69" i="24"/>
  <c r="J311" i="24"/>
  <c r="J171" i="24"/>
  <c r="N171" i="24"/>
  <c r="N311" i="24"/>
  <c r="BO70" i="24"/>
  <c r="BP71" i="24"/>
  <c r="L313" i="24"/>
  <c r="L173" i="24"/>
  <c r="P313" i="24"/>
  <c r="P173" i="24"/>
  <c r="M314" i="24"/>
  <c r="M174" i="24"/>
  <c r="Q314" i="24"/>
  <c r="Q174" i="24"/>
  <c r="BR73" i="24"/>
  <c r="J315" i="24"/>
  <c r="J175" i="24"/>
  <c r="N315" i="24"/>
  <c r="N175" i="24"/>
  <c r="BO74" i="24"/>
  <c r="BP75" i="24"/>
  <c r="F99" i="24"/>
  <c r="F101" i="24"/>
  <c r="F103" i="24"/>
  <c r="F105" i="24"/>
  <c r="X308" i="24"/>
  <c r="X168" i="24"/>
  <c r="BQ119" i="24"/>
  <c r="U309" i="24"/>
  <c r="U169" i="24"/>
  <c r="Y309" i="24"/>
  <c r="Y169" i="24"/>
  <c r="S310" i="24"/>
  <c r="BO121" i="24"/>
  <c r="BQ121" i="24"/>
  <c r="R311" i="24"/>
  <c r="R171" i="24"/>
  <c r="V171" i="24"/>
  <c r="V311" i="24"/>
  <c r="BO122" i="24"/>
  <c r="U312" i="24"/>
  <c r="U172" i="24"/>
  <c r="S314" i="24"/>
  <c r="BO125" i="24"/>
  <c r="BQ125" i="24"/>
  <c r="R315" i="24"/>
  <c r="R175" i="24"/>
  <c r="V315" i="24"/>
  <c r="V175" i="24"/>
  <c r="BO126" i="24"/>
  <c r="U316" i="24"/>
  <c r="U176" i="24"/>
  <c r="Y316" i="24"/>
  <c r="Y176" i="24"/>
  <c r="L159" i="24"/>
  <c r="L155" i="24"/>
  <c r="L151" i="24"/>
  <c r="K159" i="24"/>
  <c r="K155" i="24"/>
  <c r="K151" i="24"/>
  <c r="I160" i="24"/>
  <c r="I156" i="24"/>
  <c r="I152" i="24"/>
  <c r="J157" i="24"/>
  <c r="G167" i="24"/>
  <c r="W167" i="24"/>
  <c r="O168" i="24"/>
  <c r="G169" i="24"/>
  <c r="W169" i="24"/>
  <c r="O170" i="24"/>
  <c r="G171" i="24"/>
  <c r="O172" i="24"/>
  <c r="G173" i="24"/>
  <c r="W173" i="24"/>
  <c r="O174" i="24"/>
  <c r="G175" i="24"/>
  <c r="O176" i="24"/>
  <c r="D308" i="24"/>
  <c r="F311" i="24"/>
  <c r="H308" i="24"/>
  <c r="H168" i="24"/>
  <c r="E309" i="24"/>
  <c r="E169" i="24"/>
  <c r="I309" i="24"/>
  <c r="I169" i="24"/>
  <c r="BR16" i="24"/>
  <c r="B310" i="24"/>
  <c r="B170" i="24"/>
  <c r="F310" i="24"/>
  <c r="F170" i="24"/>
  <c r="D312" i="24"/>
  <c r="D172" i="24"/>
  <c r="H312" i="24"/>
  <c r="H172" i="24"/>
  <c r="I313" i="24"/>
  <c r="I173" i="24"/>
  <c r="B314" i="24"/>
  <c r="B174" i="24"/>
  <c r="BO21" i="24"/>
  <c r="D316" i="24"/>
  <c r="D176" i="24"/>
  <c r="G49" i="24"/>
  <c r="G53" i="24"/>
  <c r="G57" i="24"/>
  <c r="M308" i="24"/>
  <c r="M168" i="24"/>
  <c r="Q308" i="24"/>
  <c r="Q168" i="24"/>
  <c r="BR67" i="24"/>
  <c r="J309" i="24"/>
  <c r="J169" i="24"/>
  <c r="BO68" i="24"/>
  <c r="Q312" i="24"/>
  <c r="Q172" i="24"/>
  <c r="N313" i="24"/>
  <c r="N173" i="24"/>
  <c r="L315" i="24"/>
  <c r="L175" i="24"/>
  <c r="Q316" i="24"/>
  <c r="Q176" i="24"/>
  <c r="L106" i="24"/>
  <c r="L110" i="24"/>
  <c r="U307" i="24"/>
  <c r="U167" i="24"/>
  <c r="Y307" i="24"/>
  <c r="Y167" i="24"/>
  <c r="R308" i="24"/>
  <c r="R168" i="24"/>
  <c r="BO119" i="24"/>
  <c r="Y310" i="24"/>
  <c r="Y170" i="24"/>
  <c r="X311" i="24"/>
  <c r="X171" i="24"/>
  <c r="U314" i="24"/>
  <c r="U174" i="24"/>
  <c r="T315" i="24"/>
  <c r="T175" i="24"/>
  <c r="BP126" i="24"/>
  <c r="W316" i="24"/>
  <c r="BQ127" i="24"/>
  <c r="BT127" i="24" s="1"/>
  <c r="E159" i="24"/>
  <c r="E155" i="24"/>
  <c r="W172" i="24"/>
  <c r="B307" i="24"/>
  <c r="B167" i="24"/>
  <c r="F307" i="24"/>
  <c r="F167" i="24"/>
  <c r="BO14" i="24"/>
  <c r="BP15" i="24"/>
  <c r="D309" i="24"/>
  <c r="D169" i="24"/>
  <c r="H309" i="24"/>
  <c r="H169" i="24"/>
  <c r="BQ16" i="24"/>
  <c r="E310" i="24"/>
  <c r="E170" i="24"/>
  <c r="I310" i="24"/>
  <c r="I170" i="24"/>
  <c r="BR17" i="24"/>
  <c r="B311" i="24"/>
  <c r="B171" i="24"/>
  <c r="BO18" i="24"/>
  <c r="BP19" i="24"/>
  <c r="D313" i="24"/>
  <c r="D173" i="24"/>
  <c r="H313" i="24"/>
  <c r="H173" i="24"/>
  <c r="BQ20" i="24"/>
  <c r="E314" i="24"/>
  <c r="E174" i="24"/>
  <c r="I314" i="24"/>
  <c r="I174" i="24"/>
  <c r="BR21" i="24"/>
  <c r="B315" i="24"/>
  <c r="B175" i="24"/>
  <c r="F315" i="24"/>
  <c r="F175" i="24"/>
  <c r="BO22" i="24"/>
  <c r="BS22" i="24" s="1"/>
  <c r="BP23" i="24"/>
  <c r="J28" i="24"/>
  <c r="F47" i="24"/>
  <c r="J47" i="24"/>
  <c r="F48" i="24"/>
  <c r="F49" i="24"/>
  <c r="J50" i="24"/>
  <c r="F51" i="24"/>
  <c r="F52" i="24"/>
  <c r="F53" i="24"/>
  <c r="J54" i="24"/>
  <c r="BP66" i="24"/>
  <c r="L308" i="24"/>
  <c r="L168" i="24"/>
  <c r="P308" i="24"/>
  <c r="P168" i="24"/>
  <c r="BQ67" i="24"/>
  <c r="M309" i="24"/>
  <c r="M169" i="24"/>
  <c r="Q309" i="24"/>
  <c r="Q169" i="24"/>
  <c r="BR68" i="24"/>
  <c r="J310" i="24"/>
  <c r="J170" i="24"/>
  <c r="N170" i="24"/>
  <c r="N310" i="24"/>
  <c r="BO69" i="24"/>
  <c r="BS69" i="24" s="1"/>
  <c r="BP70" i="24"/>
  <c r="L312" i="24"/>
  <c r="L172" i="24"/>
  <c r="P312" i="24"/>
  <c r="P172" i="24"/>
  <c r="BQ71" i="24"/>
  <c r="M313" i="24"/>
  <c r="M173" i="24"/>
  <c r="Q173" i="24"/>
  <c r="Q313" i="24"/>
  <c r="BR72" i="24"/>
  <c r="BT72" i="24" s="1"/>
  <c r="J314" i="24"/>
  <c r="J174" i="24"/>
  <c r="N314" i="24"/>
  <c r="N174" i="24"/>
  <c r="BO73" i="24"/>
  <c r="BP74" i="24"/>
  <c r="L316" i="24"/>
  <c r="L176" i="24"/>
  <c r="P316" i="24"/>
  <c r="P176" i="24"/>
  <c r="BQ75" i="24"/>
  <c r="K80" i="24"/>
  <c r="K99" i="24"/>
  <c r="G100" i="24"/>
  <c r="G101" i="24"/>
  <c r="K102" i="24"/>
  <c r="K103" i="24"/>
  <c r="G104" i="24"/>
  <c r="G105" i="24"/>
  <c r="K106" i="24"/>
  <c r="T307" i="24"/>
  <c r="T167" i="24"/>
  <c r="X307" i="24"/>
  <c r="X167" i="24"/>
  <c r="BQ118" i="24"/>
  <c r="U308" i="24"/>
  <c r="U168" i="24"/>
  <c r="Y308" i="24"/>
  <c r="Y168" i="24"/>
  <c r="BR119" i="24"/>
  <c r="R309" i="24"/>
  <c r="R169" i="24"/>
  <c r="V309" i="24"/>
  <c r="V169" i="24"/>
  <c r="BO120" i="24"/>
  <c r="T310" i="24"/>
  <c r="T170" i="24"/>
  <c r="X310" i="24"/>
  <c r="X170" i="24"/>
  <c r="BR121" i="24"/>
  <c r="BQ122" i="24"/>
  <c r="R312" i="24"/>
  <c r="R172" i="24"/>
  <c r="V312" i="24"/>
  <c r="V172" i="24"/>
  <c r="BO123" i="24"/>
  <c r="R313" i="24"/>
  <c r="R173" i="24"/>
  <c r="V313" i="24"/>
  <c r="V173" i="24"/>
  <c r="BO124" i="24"/>
  <c r="T314" i="24"/>
  <c r="T174" i="24"/>
  <c r="X314" i="24"/>
  <c r="X174" i="24"/>
  <c r="BR125" i="24"/>
  <c r="BQ126" i="24"/>
  <c r="R316" i="24"/>
  <c r="R176" i="24"/>
  <c r="V316" i="24"/>
  <c r="V176" i="24"/>
  <c r="BO127" i="24"/>
  <c r="L162" i="24"/>
  <c r="L158" i="24"/>
  <c r="L154" i="24"/>
  <c r="K162" i="24"/>
  <c r="K158" i="24"/>
  <c r="K154" i="24"/>
  <c r="E151" i="24"/>
  <c r="J152" i="24"/>
  <c r="J156" i="24"/>
  <c r="J160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K175" i="24"/>
  <c r="C176" i="24"/>
  <c r="S176" i="24"/>
  <c r="T308" i="24"/>
  <c r="Y312" i="24"/>
  <c r="G153" i="24"/>
  <c r="G157" i="24"/>
  <c r="T172" i="24"/>
  <c r="X172" i="24"/>
  <c r="T176" i="24"/>
  <c r="X176" i="24"/>
  <c r="C183" i="24"/>
  <c r="U173" i="24"/>
  <c r="Y173" i="24"/>
  <c r="R170" i="24"/>
  <c r="V170" i="24"/>
  <c r="R174" i="24"/>
  <c r="V174" i="24"/>
  <c r="C174" i="23"/>
  <c r="H132" i="23"/>
  <c r="H160" i="23" s="1"/>
  <c r="J70" i="23"/>
  <c r="J71" i="23"/>
  <c r="H88" i="23"/>
  <c r="J124" i="23"/>
  <c r="F151" i="23"/>
  <c r="J28" i="23"/>
  <c r="I52" i="23" s="1"/>
  <c r="BP17" i="23"/>
  <c r="J19" i="23"/>
  <c r="J23" i="23"/>
  <c r="L51" i="23"/>
  <c r="J73" i="23"/>
  <c r="J125" i="23"/>
  <c r="C175" i="23"/>
  <c r="E155" i="23"/>
  <c r="H49" i="23"/>
  <c r="H53" i="23"/>
  <c r="J69" i="23"/>
  <c r="J120" i="23"/>
  <c r="J14" i="23"/>
  <c r="J17" i="23"/>
  <c r="J22" i="23"/>
  <c r="H37" i="23"/>
  <c r="J80" i="23"/>
  <c r="I108" i="23" s="1"/>
  <c r="F108" i="23"/>
  <c r="J131" i="23"/>
  <c r="I159" i="23" s="1"/>
  <c r="J162" i="23"/>
  <c r="J15" i="23"/>
  <c r="H36" i="23"/>
  <c r="H87" i="23"/>
  <c r="E100" i="23"/>
  <c r="F107" i="23"/>
  <c r="H139" i="23"/>
  <c r="F152" i="23"/>
  <c r="K158" i="23"/>
  <c r="C168" i="23"/>
  <c r="C169" i="23" s="1"/>
  <c r="J102" i="23"/>
  <c r="BQ14" i="23"/>
  <c r="J18" i="23"/>
  <c r="J20" i="23"/>
  <c r="J21" i="23"/>
  <c r="L47" i="23"/>
  <c r="J66" i="23"/>
  <c r="J67" i="23"/>
  <c r="BP75" i="23"/>
  <c r="H89" i="23"/>
  <c r="F103" i="23"/>
  <c r="F104" i="23"/>
  <c r="J110" i="23"/>
  <c r="BP118" i="23"/>
  <c r="BQ119" i="23"/>
  <c r="BP122" i="23"/>
  <c r="BQ123" i="23"/>
  <c r="J132" i="23"/>
  <c r="J160" i="23" s="1"/>
  <c r="K133" i="23"/>
  <c r="L161" i="23" s="1"/>
  <c r="G152" i="23"/>
  <c r="F155" i="23"/>
  <c r="F156" i="23"/>
  <c r="E159" i="23"/>
  <c r="K162" i="23"/>
  <c r="J118" i="23"/>
  <c r="J119" i="23"/>
  <c r="BQ120" i="23"/>
  <c r="J122" i="23"/>
  <c r="BQ124" i="23"/>
  <c r="BP126" i="23"/>
  <c r="BP127" i="23"/>
  <c r="K132" i="23"/>
  <c r="K152" i="23" s="1"/>
  <c r="J154" i="23"/>
  <c r="F159" i="23"/>
  <c r="F160" i="23"/>
  <c r="BQ18" i="23"/>
  <c r="J16" i="23"/>
  <c r="E48" i="23"/>
  <c r="I50" i="23"/>
  <c r="BP71" i="23"/>
  <c r="BQ72" i="23"/>
  <c r="J75" i="23"/>
  <c r="F99" i="23"/>
  <c r="BP21" i="23"/>
  <c r="BQ22" i="23"/>
  <c r="K29" i="23"/>
  <c r="K57" i="23" s="1"/>
  <c r="E36" i="23"/>
  <c r="E37" i="23"/>
  <c r="F48" i="23"/>
  <c r="J50" i="23"/>
  <c r="F52" i="23"/>
  <c r="BP67" i="23"/>
  <c r="BQ68" i="23"/>
  <c r="J74" i="23"/>
  <c r="J79" i="23"/>
  <c r="I103" i="23" s="1"/>
  <c r="H80" i="23"/>
  <c r="H108" i="23" s="1"/>
  <c r="K81" i="23"/>
  <c r="L109" i="23" s="1"/>
  <c r="F100" i="23"/>
  <c r="J106" i="23"/>
  <c r="J121" i="23"/>
  <c r="BR124" i="23"/>
  <c r="J127" i="23"/>
  <c r="K154" i="23"/>
  <c r="J158" i="23"/>
  <c r="G160" i="23"/>
  <c r="J57" i="23"/>
  <c r="J53" i="23"/>
  <c r="J49" i="23"/>
  <c r="I29" i="23"/>
  <c r="BO16" i="23"/>
  <c r="BO20" i="23"/>
  <c r="BR23" i="23"/>
  <c r="K107" i="23"/>
  <c r="K103" i="23"/>
  <c r="K99" i="23"/>
  <c r="L107" i="23"/>
  <c r="L103" i="23"/>
  <c r="L99" i="23"/>
  <c r="W283" i="23"/>
  <c r="BQ118" i="23"/>
  <c r="V290" i="23"/>
  <c r="BQ125" i="23"/>
  <c r="BR14" i="23"/>
  <c r="BO15" i="23"/>
  <c r="BP16" i="23"/>
  <c r="BQ17" i="23"/>
  <c r="BR18" i="23"/>
  <c r="BO19" i="23"/>
  <c r="BP20" i="23"/>
  <c r="BQ21" i="23"/>
  <c r="BR22" i="23"/>
  <c r="BO23" i="23"/>
  <c r="J27" i="23"/>
  <c r="E29" i="23"/>
  <c r="H35" i="23"/>
  <c r="E47" i="23"/>
  <c r="E51" i="23"/>
  <c r="E52" i="23"/>
  <c r="G53" i="23"/>
  <c r="E55" i="23"/>
  <c r="K55" i="23"/>
  <c r="K284" i="23"/>
  <c r="BO67" i="23"/>
  <c r="O284" i="23"/>
  <c r="BQ67" i="23"/>
  <c r="K288" i="23"/>
  <c r="BO71" i="23"/>
  <c r="O288" i="23"/>
  <c r="BQ71" i="23"/>
  <c r="K292" i="23"/>
  <c r="BO75" i="23"/>
  <c r="O292" i="23"/>
  <c r="BQ75" i="23"/>
  <c r="J81" i="23"/>
  <c r="E81" i="23"/>
  <c r="F109" i="23"/>
  <c r="S287" i="23"/>
  <c r="BO122" i="23"/>
  <c r="W287" i="23"/>
  <c r="BQ122" i="23"/>
  <c r="BR19" i="23"/>
  <c r="H56" i="23"/>
  <c r="L54" i="23"/>
  <c r="S283" i="23"/>
  <c r="BO118" i="23"/>
  <c r="BO125" i="23"/>
  <c r="BO14" i="23"/>
  <c r="BQ16" i="23"/>
  <c r="BR17" i="23"/>
  <c r="BO18" i="23"/>
  <c r="BP19" i="23"/>
  <c r="BQ20" i="23"/>
  <c r="BR21" i="23"/>
  <c r="BO22" i="23"/>
  <c r="BP23" i="23"/>
  <c r="F57" i="23"/>
  <c r="F53" i="23"/>
  <c r="F47" i="23"/>
  <c r="F49" i="23"/>
  <c r="F51" i="23"/>
  <c r="I54" i="23"/>
  <c r="E56" i="23"/>
  <c r="J68" i="23"/>
  <c r="M286" i="23"/>
  <c r="BP69" i="23"/>
  <c r="J72" i="23"/>
  <c r="T284" i="23"/>
  <c r="BP119" i="23"/>
  <c r="X284" i="23"/>
  <c r="BR119" i="23"/>
  <c r="J123" i="23"/>
  <c r="J126" i="23"/>
  <c r="S291" i="23"/>
  <c r="BO126" i="23"/>
  <c r="W291" i="23"/>
  <c r="BQ126" i="23"/>
  <c r="BR15" i="23"/>
  <c r="H48" i="23"/>
  <c r="L50" i="23"/>
  <c r="H52" i="23"/>
  <c r="BP15" i="23"/>
  <c r="BP14" i="23"/>
  <c r="BQ15" i="23"/>
  <c r="BR16" i="23"/>
  <c r="BO17" i="23"/>
  <c r="BP18" i="23"/>
  <c r="BQ19" i="23"/>
  <c r="BR20" i="23"/>
  <c r="BO21" i="23"/>
  <c r="BP22" i="23"/>
  <c r="BQ23" i="23"/>
  <c r="K28" i="23"/>
  <c r="J58" i="23"/>
  <c r="J54" i="23"/>
  <c r="K47" i="23"/>
  <c r="G48" i="23"/>
  <c r="G49" i="23"/>
  <c r="K50" i="23"/>
  <c r="K51" i="23"/>
  <c r="G52" i="23"/>
  <c r="K54" i="23"/>
  <c r="G56" i="23"/>
  <c r="G57" i="23"/>
  <c r="K58" i="23"/>
  <c r="N283" i="23"/>
  <c r="BQ66" i="23"/>
  <c r="BO66" i="23"/>
  <c r="L285" i="23"/>
  <c r="BP68" i="23"/>
  <c r="P285" i="23"/>
  <c r="BR68" i="23"/>
  <c r="BR69" i="23"/>
  <c r="N287" i="23"/>
  <c r="BQ70" i="23"/>
  <c r="BO70" i="23"/>
  <c r="L289" i="23"/>
  <c r="BP72" i="23"/>
  <c r="P289" i="23"/>
  <c r="BR72" i="23"/>
  <c r="BR73" i="23"/>
  <c r="N291" i="23"/>
  <c r="BQ74" i="23"/>
  <c r="BO74" i="23"/>
  <c r="J88" i="23"/>
  <c r="I88" i="23" s="1"/>
  <c r="J89" i="23"/>
  <c r="I89" i="23" s="1"/>
  <c r="F101" i="23"/>
  <c r="BR120" i="23"/>
  <c r="V286" i="23"/>
  <c r="BQ121" i="23"/>
  <c r="BO121" i="23"/>
  <c r="T288" i="23"/>
  <c r="BP123" i="23"/>
  <c r="X288" i="23"/>
  <c r="BR123" i="23"/>
  <c r="BR67" i="23"/>
  <c r="BO68" i="23"/>
  <c r="BR71" i="23"/>
  <c r="BO72" i="23"/>
  <c r="BP73" i="23"/>
  <c r="BR75" i="23"/>
  <c r="H101" i="23"/>
  <c r="L102" i="23"/>
  <c r="H105" i="23"/>
  <c r="L106" i="23"/>
  <c r="H109" i="23"/>
  <c r="L110" i="23"/>
  <c r="BR118" i="23"/>
  <c r="BO119" i="23"/>
  <c r="BP120" i="23"/>
  <c r="BR122" i="23"/>
  <c r="BO123" i="23"/>
  <c r="BP124" i="23"/>
  <c r="BR126" i="23"/>
  <c r="BO127" i="23"/>
  <c r="E133" i="23"/>
  <c r="J133" i="23"/>
  <c r="E140" i="23"/>
  <c r="E141" i="23"/>
  <c r="E152" i="23"/>
  <c r="I154" i="23"/>
  <c r="E156" i="23"/>
  <c r="I158" i="23"/>
  <c r="B271" i="23"/>
  <c r="BR66" i="23"/>
  <c r="BQ69" i="23"/>
  <c r="BR70" i="23"/>
  <c r="BQ73" i="23"/>
  <c r="BR74" i="23"/>
  <c r="E99" i="23"/>
  <c r="I102" i="23"/>
  <c r="E103" i="23"/>
  <c r="E104" i="23"/>
  <c r="I106" i="23"/>
  <c r="BR121" i="23"/>
  <c r="BR125" i="23"/>
  <c r="F153" i="23"/>
  <c r="F157" i="23"/>
  <c r="BQ127" i="23"/>
  <c r="K140" i="23"/>
  <c r="L140" i="23" s="1"/>
  <c r="K141" i="23"/>
  <c r="L141" i="23" s="1"/>
  <c r="K151" i="23"/>
  <c r="G153" i="23"/>
  <c r="K155" i="23"/>
  <c r="G157" i="23"/>
  <c r="K159" i="23"/>
  <c r="G161" i="23"/>
  <c r="BP66" i="23"/>
  <c r="BO69" i="23"/>
  <c r="BP70" i="23"/>
  <c r="BO73" i="23"/>
  <c r="BP74" i="23"/>
  <c r="K80" i="23"/>
  <c r="G100" i="23"/>
  <c r="G101" i="23"/>
  <c r="K102" i="23"/>
  <c r="G104" i="23"/>
  <c r="G105" i="23"/>
  <c r="K106" i="23"/>
  <c r="BO120" i="23"/>
  <c r="BP121" i="23"/>
  <c r="BO124" i="23"/>
  <c r="BP125" i="23"/>
  <c r="BR127" i="23"/>
  <c r="L151" i="23"/>
  <c r="H153" i="23"/>
  <c r="L154" i="23"/>
  <c r="L155" i="23"/>
  <c r="H157" i="23"/>
  <c r="L158" i="23"/>
  <c r="B269" i="23" l="1"/>
  <c r="F297" i="23" s="1"/>
  <c r="C257" i="23"/>
  <c r="C270" i="23" s="1"/>
  <c r="D257" i="23"/>
  <c r="D270" i="23" s="1"/>
  <c r="C259" i="23"/>
  <c r="D259" i="23"/>
  <c r="D272" i="23" s="1"/>
  <c r="S300" i="23" s="1"/>
  <c r="T301" i="23"/>
  <c r="V301" i="23"/>
  <c r="X301" i="23"/>
  <c r="W301" i="23"/>
  <c r="C274" i="23"/>
  <c r="B260" i="23"/>
  <c r="C260" i="23"/>
  <c r="E260" i="23" s="1"/>
  <c r="D258" i="23"/>
  <c r="D271" i="23" s="1"/>
  <c r="U299" i="23" s="1"/>
  <c r="D265" i="23"/>
  <c r="D278" i="23" s="1"/>
  <c r="Y306" i="23" s="1"/>
  <c r="S301" i="23"/>
  <c r="D297" i="23"/>
  <c r="B257" i="23"/>
  <c r="S299" i="23"/>
  <c r="W299" i="23"/>
  <c r="T299" i="23"/>
  <c r="X299" i="23"/>
  <c r="Y299" i="23"/>
  <c r="R300" i="23"/>
  <c r="X300" i="23"/>
  <c r="T300" i="23"/>
  <c r="U300" i="23"/>
  <c r="W300" i="23"/>
  <c r="Y300" i="23"/>
  <c r="B262" i="23"/>
  <c r="B275" i="23" s="1"/>
  <c r="B303" i="23" s="1"/>
  <c r="C262" i="23"/>
  <c r="D262" i="23"/>
  <c r="D275" i="23" s="1"/>
  <c r="C263" i="23"/>
  <c r="B263" i="23"/>
  <c r="B276" i="23" s="1"/>
  <c r="D263" i="23"/>
  <c r="D276" i="23" s="1"/>
  <c r="R298" i="23"/>
  <c r="V298" i="23"/>
  <c r="S298" i="23"/>
  <c r="U298" i="23"/>
  <c r="W298" i="23"/>
  <c r="Y298" i="23"/>
  <c r="R306" i="23"/>
  <c r="V306" i="23"/>
  <c r="X306" i="23"/>
  <c r="S306" i="23"/>
  <c r="W306" i="23"/>
  <c r="T306" i="23"/>
  <c r="U306" i="23"/>
  <c r="C299" i="23"/>
  <c r="G299" i="23"/>
  <c r="E299" i="23"/>
  <c r="D299" i="23"/>
  <c r="H299" i="23"/>
  <c r="I299" i="23"/>
  <c r="F299" i="23"/>
  <c r="T298" i="23"/>
  <c r="L302" i="23"/>
  <c r="M302" i="23"/>
  <c r="P302" i="23"/>
  <c r="N302" i="23"/>
  <c r="Q302" i="23"/>
  <c r="E297" i="23"/>
  <c r="I297" i="23"/>
  <c r="X298" i="23"/>
  <c r="G297" i="23"/>
  <c r="B261" i="23"/>
  <c r="D256" i="23"/>
  <c r="D269" i="23" s="1"/>
  <c r="W297" i="23" s="1"/>
  <c r="C258" i="23"/>
  <c r="C297" i="23"/>
  <c r="K302" i="23"/>
  <c r="V300" i="23"/>
  <c r="S297" i="23"/>
  <c r="O302" i="23"/>
  <c r="U301" i="23"/>
  <c r="Y301" i="23"/>
  <c r="H297" i="23"/>
  <c r="B265" i="23"/>
  <c r="B278" i="23" s="1"/>
  <c r="B259" i="23"/>
  <c r="E259" i="23" s="1"/>
  <c r="C256" i="23"/>
  <c r="C269" i="23" s="1"/>
  <c r="D261" i="23"/>
  <c r="D274" i="23" s="1"/>
  <c r="T302" i="23" s="1"/>
  <c r="BS120" i="24"/>
  <c r="BT71" i="24"/>
  <c r="BT20" i="24"/>
  <c r="J51" i="24"/>
  <c r="BS72" i="24"/>
  <c r="K48" i="24"/>
  <c r="BS121" i="24"/>
  <c r="BT118" i="24"/>
  <c r="E153" i="24"/>
  <c r="E157" i="24"/>
  <c r="J100" i="24"/>
  <c r="I104" i="24"/>
  <c r="L28" i="24"/>
  <c r="L48" i="24" s="1"/>
  <c r="BS17" i="24"/>
  <c r="BT75" i="24"/>
  <c r="BS125" i="24"/>
  <c r="J104" i="24"/>
  <c r="BT66" i="24"/>
  <c r="BT23" i="24"/>
  <c r="BS127" i="24"/>
  <c r="BU127" i="24" s="1"/>
  <c r="I100" i="24"/>
  <c r="BT19" i="24"/>
  <c r="K52" i="24"/>
  <c r="BT70" i="24"/>
  <c r="I108" i="24"/>
  <c r="H108" i="24"/>
  <c r="I55" i="24"/>
  <c r="I47" i="24"/>
  <c r="BT15" i="24"/>
  <c r="I51" i="24"/>
  <c r="BT126" i="24"/>
  <c r="BT122" i="24"/>
  <c r="BS18" i="24"/>
  <c r="I157" i="24"/>
  <c r="BS67" i="24"/>
  <c r="K105" i="24"/>
  <c r="J153" i="24"/>
  <c r="K157" i="24"/>
  <c r="I161" i="24"/>
  <c r="BT74" i="24"/>
  <c r="BT17" i="24"/>
  <c r="J161" i="24"/>
  <c r="BS73" i="24"/>
  <c r="BS21" i="24"/>
  <c r="E53" i="24"/>
  <c r="E49" i="24"/>
  <c r="BS118" i="24"/>
  <c r="C184" i="24"/>
  <c r="BS124" i="24"/>
  <c r="BS14" i="24"/>
  <c r="H52" i="24"/>
  <c r="H48" i="24"/>
  <c r="H156" i="24"/>
  <c r="BS123" i="24"/>
  <c r="BT67" i="24"/>
  <c r="BS68" i="24"/>
  <c r="BS122" i="24"/>
  <c r="BT119" i="24"/>
  <c r="H100" i="24"/>
  <c r="L161" i="24"/>
  <c r="BS16" i="24"/>
  <c r="BT16" i="24"/>
  <c r="BT120" i="24"/>
  <c r="J53" i="24"/>
  <c r="BS70" i="24"/>
  <c r="K161" i="24"/>
  <c r="BT69" i="24"/>
  <c r="BU69" i="24" s="1"/>
  <c r="BS119" i="24"/>
  <c r="BS15" i="24"/>
  <c r="L153" i="24"/>
  <c r="BS20" i="24"/>
  <c r="BU20" i="24" s="1"/>
  <c r="K109" i="24"/>
  <c r="L105" i="24"/>
  <c r="L109" i="24"/>
  <c r="L101" i="24"/>
  <c r="J49" i="24"/>
  <c r="K153" i="24"/>
  <c r="BT124" i="24"/>
  <c r="BU67" i="24"/>
  <c r="I29" i="24"/>
  <c r="I53" i="24" s="1"/>
  <c r="BT125" i="24"/>
  <c r="BS66" i="24"/>
  <c r="BU66" i="24" s="1"/>
  <c r="BS23" i="24"/>
  <c r="BU23" i="24" s="1"/>
  <c r="J109" i="24"/>
  <c r="J105" i="24"/>
  <c r="J101" i="24"/>
  <c r="I81" i="24"/>
  <c r="B190" i="24"/>
  <c r="D205" i="24" s="1"/>
  <c r="BU72" i="24"/>
  <c r="E109" i="24"/>
  <c r="E105" i="24"/>
  <c r="E101" i="24"/>
  <c r="BT22" i="24"/>
  <c r="BU22" i="24" s="1"/>
  <c r="BT18" i="24"/>
  <c r="H160" i="24"/>
  <c r="BT121" i="24"/>
  <c r="BU121" i="24" s="1"/>
  <c r="BS75" i="24"/>
  <c r="K108" i="24"/>
  <c r="K104" i="24"/>
  <c r="K100" i="24"/>
  <c r="L80" i="24"/>
  <c r="L100" i="24" s="1"/>
  <c r="BT68" i="24"/>
  <c r="BT21" i="24"/>
  <c r="BS19" i="24"/>
  <c r="BT14" i="24"/>
  <c r="BT123" i="24"/>
  <c r="BT73" i="24"/>
  <c r="J56" i="24"/>
  <c r="J52" i="24"/>
  <c r="J48" i="24"/>
  <c r="I56" i="24"/>
  <c r="I52" i="24"/>
  <c r="I48" i="24"/>
  <c r="BS126" i="24"/>
  <c r="BS74" i="24"/>
  <c r="I159" i="24"/>
  <c r="I155" i="24"/>
  <c r="I151" i="24"/>
  <c r="J159" i="24"/>
  <c r="J155" i="24"/>
  <c r="J151" i="24"/>
  <c r="J107" i="24"/>
  <c r="J103" i="24"/>
  <c r="J99" i="24"/>
  <c r="I107" i="24"/>
  <c r="I103" i="24"/>
  <c r="I99" i="24"/>
  <c r="BS71" i="24"/>
  <c r="K160" i="24"/>
  <c r="K156" i="24"/>
  <c r="K152" i="24"/>
  <c r="L132" i="24"/>
  <c r="L152" i="24" s="1"/>
  <c r="J100" i="23"/>
  <c r="I100" i="23"/>
  <c r="B277" i="23"/>
  <c r="B305" i="23" s="1"/>
  <c r="B273" i="23"/>
  <c r="BS17" i="23"/>
  <c r="J104" i="23"/>
  <c r="BT123" i="23"/>
  <c r="H104" i="23"/>
  <c r="C177" i="23"/>
  <c r="J108" i="23"/>
  <c r="C277" i="23"/>
  <c r="C272" i="23"/>
  <c r="C276" i="23"/>
  <c r="I155" i="23"/>
  <c r="C275" i="23"/>
  <c r="K156" i="23"/>
  <c r="C271" i="23"/>
  <c r="I151" i="23"/>
  <c r="BT23" i="23"/>
  <c r="C278" i="23"/>
  <c r="O306" i="23" s="1"/>
  <c r="BS127" i="23"/>
  <c r="BT120" i="23"/>
  <c r="H156" i="23"/>
  <c r="H152" i="23"/>
  <c r="BS122" i="23"/>
  <c r="BS72" i="23"/>
  <c r="I48" i="23"/>
  <c r="J48" i="23"/>
  <c r="J52" i="23"/>
  <c r="J56" i="23"/>
  <c r="I56" i="23"/>
  <c r="L101" i="23"/>
  <c r="BS21" i="23"/>
  <c r="I104" i="23"/>
  <c r="BS73" i="23"/>
  <c r="K101" i="23"/>
  <c r="K105" i="23"/>
  <c r="B270" i="23"/>
  <c r="BT72" i="23"/>
  <c r="BT68" i="23"/>
  <c r="BT124" i="23"/>
  <c r="R301" i="23"/>
  <c r="J152" i="23"/>
  <c r="I99" i="23"/>
  <c r="BT18" i="23"/>
  <c r="BT14" i="23"/>
  <c r="I160" i="23"/>
  <c r="E257" i="23"/>
  <c r="R299" i="23"/>
  <c r="L53" i="23"/>
  <c r="E258" i="23"/>
  <c r="K160" i="23"/>
  <c r="BS118" i="23"/>
  <c r="E264" i="23"/>
  <c r="L132" i="23"/>
  <c r="L156" i="23" s="1"/>
  <c r="BS124" i="23"/>
  <c r="J156" i="23"/>
  <c r="C273" i="23"/>
  <c r="I156" i="23"/>
  <c r="I152" i="23"/>
  <c r="L105" i="23"/>
  <c r="K109" i="23"/>
  <c r="K49" i="23"/>
  <c r="BT16" i="23"/>
  <c r="J151" i="23"/>
  <c r="E262" i="23"/>
  <c r="J159" i="23"/>
  <c r="J155" i="23"/>
  <c r="BS74" i="23"/>
  <c r="BS75" i="23"/>
  <c r="BT22" i="23"/>
  <c r="BT119" i="23"/>
  <c r="BT20" i="23"/>
  <c r="L157" i="23"/>
  <c r="K161" i="23"/>
  <c r="K157" i="23"/>
  <c r="K153" i="23"/>
  <c r="BT69" i="23"/>
  <c r="BS123" i="23"/>
  <c r="H100" i="23"/>
  <c r="BT121" i="23"/>
  <c r="BT19" i="23"/>
  <c r="BS126" i="23"/>
  <c r="I107" i="23"/>
  <c r="J107" i="23"/>
  <c r="J99" i="23"/>
  <c r="J103" i="23"/>
  <c r="L57" i="23"/>
  <c r="K53" i="23"/>
  <c r="L49" i="23"/>
  <c r="BS119" i="23"/>
  <c r="BT15" i="23"/>
  <c r="BS71" i="23"/>
  <c r="E265" i="23"/>
  <c r="L153" i="23"/>
  <c r="BS120" i="23"/>
  <c r="BS69" i="23"/>
  <c r="R297" i="23"/>
  <c r="BS67" i="23"/>
  <c r="I81" i="23"/>
  <c r="J109" i="23"/>
  <c r="J101" i="23"/>
  <c r="J105" i="23"/>
  <c r="D277" i="23"/>
  <c r="S305" i="23" s="1"/>
  <c r="BT73" i="23"/>
  <c r="I133" i="23"/>
  <c r="J161" i="23"/>
  <c r="J157" i="23"/>
  <c r="J153" i="23"/>
  <c r="BS68" i="23"/>
  <c r="BS70" i="23"/>
  <c r="BT126" i="23"/>
  <c r="BS125" i="23"/>
  <c r="BT75" i="23"/>
  <c r="E57" i="23"/>
  <c r="E49" i="23"/>
  <c r="E53" i="23"/>
  <c r="BT21" i="23"/>
  <c r="BT17" i="23"/>
  <c r="K108" i="23"/>
  <c r="K104" i="23"/>
  <c r="K100" i="23"/>
  <c r="L80" i="23"/>
  <c r="L104" i="23" s="1"/>
  <c r="J302" i="23"/>
  <c r="E161" i="23"/>
  <c r="E157" i="23"/>
  <c r="E153" i="23"/>
  <c r="BT70" i="23"/>
  <c r="BS66" i="23"/>
  <c r="BS22" i="23"/>
  <c r="BS18" i="23"/>
  <c r="B299" i="23"/>
  <c r="BT122" i="23"/>
  <c r="BT67" i="23"/>
  <c r="J55" i="23"/>
  <c r="J51" i="23"/>
  <c r="J47" i="23"/>
  <c r="I55" i="23"/>
  <c r="I51" i="23"/>
  <c r="I47" i="23"/>
  <c r="BT125" i="23"/>
  <c r="BS20" i="23"/>
  <c r="BS16" i="23"/>
  <c r="BT127" i="23"/>
  <c r="BS121" i="23"/>
  <c r="BT74" i="23"/>
  <c r="BT66" i="23"/>
  <c r="K48" i="23"/>
  <c r="L28" i="23"/>
  <c r="L48" i="23" s="1"/>
  <c r="K52" i="23"/>
  <c r="K56" i="23"/>
  <c r="BS14" i="23"/>
  <c r="E109" i="23"/>
  <c r="E105" i="23"/>
  <c r="E101" i="23"/>
  <c r="BT71" i="23"/>
  <c r="BS23" i="23"/>
  <c r="BS19" i="23"/>
  <c r="BS15" i="23"/>
  <c r="BT118" i="23"/>
  <c r="I53" i="23"/>
  <c r="I57" i="23"/>
  <c r="I49" i="23"/>
  <c r="I304" i="22"/>
  <c r="H304" i="22"/>
  <c r="G304" i="22"/>
  <c r="I303" i="22"/>
  <c r="H303" i="22"/>
  <c r="G303" i="22"/>
  <c r="I302" i="22"/>
  <c r="H302" i="22"/>
  <c r="G302" i="22"/>
  <c r="I300" i="22"/>
  <c r="H300" i="22"/>
  <c r="G300" i="22"/>
  <c r="I299" i="22"/>
  <c r="H299" i="22"/>
  <c r="G299" i="22"/>
  <c r="I298" i="22"/>
  <c r="H298" i="22"/>
  <c r="G298" i="22"/>
  <c r="I296" i="22"/>
  <c r="H296" i="22"/>
  <c r="G296" i="22"/>
  <c r="I295" i="22"/>
  <c r="H295" i="22"/>
  <c r="G295" i="22"/>
  <c r="I294" i="22"/>
  <c r="H294" i="22"/>
  <c r="G294" i="22"/>
  <c r="I292" i="22"/>
  <c r="H292" i="22"/>
  <c r="G292" i="22"/>
  <c r="I291" i="22"/>
  <c r="H291" i="22"/>
  <c r="G291" i="22"/>
  <c r="I290" i="22"/>
  <c r="H290" i="22"/>
  <c r="G290" i="22"/>
  <c r="I288" i="22"/>
  <c r="H288" i="22"/>
  <c r="G288" i="22"/>
  <c r="I287" i="22"/>
  <c r="H287" i="22"/>
  <c r="G287" i="22"/>
  <c r="I286" i="22"/>
  <c r="H286" i="22"/>
  <c r="G286" i="22"/>
  <c r="I284" i="22"/>
  <c r="H284" i="22"/>
  <c r="G284" i="22"/>
  <c r="I283" i="22"/>
  <c r="H283" i="22"/>
  <c r="G283" i="22"/>
  <c r="I282" i="22"/>
  <c r="H282" i="22"/>
  <c r="G282" i="22"/>
  <c r="I280" i="22"/>
  <c r="H280" i="22"/>
  <c r="G280" i="22"/>
  <c r="I279" i="22"/>
  <c r="H279" i="22"/>
  <c r="G279" i="22"/>
  <c r="I278" i="22"/>
  <c r="H278" i="22"/>
  <c r="G278" i="22"/>
  <c r="I276" i="22"/>
  <c r="H276" i="22"/>
  <c r="G276" i="22"/>
  <c r="I275" i="22"/>
  <c r="H275" i="22"/>
  <c r="G275" i="22"/>
  <c r="I274" i="22"/>
  <c r="H274" i="22"/>
  <c r="G274" i="22"/>
  <c r="I272" i="22"/>
  <c r="H272" i="22"/>
  <c r="G272" i="22"/>
  <c r="I271" i="22"/>
  <c r="H271" i="22"/>
  <c r="G271" i="22"/>
  <c r="I270" i="22"/>
  <c r="H270" i="22"/>
  <c r="G270" i="22"/>
  <c r="I268" i="22"/>
  <c r="H268" i="22"/>
  <c r="G268" i="22"/>
  <c r="I267" i="22"/>
  <c r="H267" i="22"/>
  <c r="G267" i="22"/>
  <c r="I266" i="22"/>
  <c r="H266" i="22"/>
  <c r="G266" i="22"/>
  <c r="D304" i="22"/>
  <c r="D347" i="22" s="1"/>
  <c r="C304" i="22"/>
  <c r="B304" i="22"/>
  <c r="D303" i="22"/>
  <c r="C303" i="22"/>
  <c r="C346" i="22" s="1"/>
  <c r="B303" i="22"/>
  <c r="D302" i="22"/>
  <c r="C302" i="22"/>
  <c r="B302" i="22"/>
  <c r="B345" i="22" s="1"/>
  <c r="D300" i="22"/>
  <c r="C300" i="22"/>
  <c r="B300" i="22"/>
  <c r="D299" i="22"/>
  <c r="D342" i="22" s="1"/>
  <c r="C299" i="22"/>
  <c r="B299" i="22"/>
  <c r="D298" i="22"/>
  <c r="C298" i="22"/>
  <c r="C341" i="22" s="1"/>
  <c r="B298" i="22"/>
  <c r="D296" i="22"/>
  <c r="C296" i="22"/>
  <c r="B296" i="22"/>
  <c r="B339" i="22" s="1"/>
  <c r="D295" i="22"/>
  <c r="C295" i="22"/>
  <c r="B295" i="22"/>
  <c r="D294" i="22"/>
  <c r="D337" i="22" s="1"/>
  <c r="C294" i="22"/>
  <c r="B294" i="22"/>
  <c r="D292" i="22"/>
  <c r="C292" i="22"/>
  <c r="C335" i="22" s="1"/>
  <c r="B292" i="22"/>
  <c r="D291" i="22"/>
  <c r="C291" i="22"/>
  <c r="B291" i="22"/>
  <c r="B334" i="22" s="1"/>
  <c r="D290" i="22"/>
  <c r="C290" i="22"/>
  <c r="B290" i="22"/>
  <c r="D288" i="22"/>
  <c r="D331" i="22" s="1"/>
  <c r="C288" i="22"/>
  <c r="B288" i="22"/>
  <c r="D287" i="22"/>
  <c r="C287" i="22"/>
  <c r="C330" i="22" s="1"/>
  <c r="B287" i="22"/>
  <c r="D286" i="22"/>
  <c r="C286" i="22"/>
  <c r="B286" i="22"/>
  <c r="B329" i="22" s="1"/>
  <c r="D284" i="22"/>
  <c r="C284" i="22"/>
  <c r="B284" i="22"/>
  <c r="D283" i="22"/>
  <c r="D326" i="22" s="1"/>
  <c r="C283" i="22"/>
  <c r="B283" i="22"/>
  <c r="D282" i="22"/>
  <c r="C282" i="22"/>
  <c r="B282" i="22"/>
  <c r="D280" i="22"/>
  <c r="C280" i="22"/>
  <c r="B280" i="22"/>
  <c r="B323" i="22" s="1"/>
  <c r="D279" i="22"/>
  <c r="C279" i="22"/>
  <c r="B279" i="22"/>
  <c r="D278" i="22"/>
  <c r="D321" i="22" s="1"/>
  <c r="C278" i="22"/>
  <c r="B278" i="22"/>
  <c r="D276" i="22"/>
  <c r="C276" i="22"/>
  <c r="C319" i="22" s="1"/>
  <c r="B276" i="22"/>
  <c r="D275" i="22"/>
  <c r="C275" i="22"/>
  <c r="B275" i="22"/>
  <c r="D274" i="22"/>
  <c r="C274" i="22"/>
  <c r="B274" i="22"/>
  <c r="D272" i="22"/>
  <c r="D315" i="22" s="1"/>
  <c r="C272" i="22"/>
  <c r="B272" i="22"/>
  <c r="D271" i="22"/>
  <c r="C271" i="22"/>
  <c r="C314" i="22" s="1"/>
  <c r="B271" i="22"/>
  <c r="D270" i="22"/>
  <c r="C270" i="22"/>
  <c r="B270" i="22"/>
  <c r="D268" i="22"/>
  <c r="C266" i="22"/>
  <c r="C309" i="22" s="1"/>
  <c r="D266" i="22"/>
  <c r="C267" i="22"/>
  <c r="D267" i="22"/>
  <c r="D310" i="22" s="1"/>
  <c r="C268" i="22"/>
  <c r="B267" i="22"/>
  <c r="B268" i="22"/>
  <c r="B266" i="22"/>
  <c r="B170" i="22"/>
  <c r="H162" i="22"/>
  <c r="G162" i="22"/>
  <c r="F162" i="22"/>
  <c r="E162" i="22"/>
  <c r="H159" i="22"/>
  <c r="G159" i="22"/>
  <c r="H158" i="22"/>
  <c r="G158" i="22"/>
  <c r="F158" i="22"/>
  <c r="E158" i="22"/>
  <c r="H155" i="22"/>
  <c r="G155" i="22"/>
  <c r="H154" i="22"/>
  <c r="G154" i="22"/>
  <c r="F154" i="22"/>
  <c r="E154" i="22"/>
  <c r="H151" i="22"/>
  <c r="G151" i="22"/>
  <c r="G141" i="22"/>
  <c r="K141" i="22" s="1"/>
  <c r="L141" i="22" s="1"/>
  <c r="F141" i="22"/>
  <c r="J141" i="22" s="1"/>
  <c r="I141" i="22" s="1"/>
  <c r="G140" i="22"/>
  <c r="K140" i="22" s="1"/>
  <c r="L140" i="22" s="1"/>
  <c r="F140" i="22"/>
  <c r="J140" i="22" s="1"/>
  <c r="I140" i="22" s="1"/>
  <c r="G139" i="22"/>
  <c r="F139" i="22"/>
  <c r="J139" i="22" s="1"/>
  <c r="K138" i="22"/>
  <c r="J138" i="22"/>
  <c r="K134" i="22"/>
  <c r="J134" i="22"/>
  <c r="J162" i="22" s="1"/>
  <c r="G133" i="22"/>
  <c r="G161" i="22" s="1"/>
  <c r="F133" i="22"/>
  <c r="F161" i="22" s="1"/>
  <c r="G132" i="22"/>
  <c r="F132" i="22"/>
  <c r="F160" i="22" s="1"/>
  <c r="K131" i="22"/>
  <c r="K159" i="22" s="1"/>
  <c r="F131" i="22"/>
  <c r="BN127" i="22"/>
  <c r="Y388" i="22" s="1"/>
  <c r="BM127" i="22"/>
  <c r="X388" i="22" s="1"/>
  <c r="BL127" i="22"/>
  <c r="W388" i="22" s="1"/>
  <c r="BK127" i="22"/>
  <c r="V388" i="22" s="1"/>
  <c r="BJ127" i="22"/>
  <c r="U388" i="22" s="1"/>
  <c r="BI127" i="22"/>
  <c r="T388" i="22" s="1"/>
  <c r="BH127" i="22"/>
  <c r="S388" i="22" s="1"/>
  <c r="BG127" i="22"/>
  <c r="R388" i="22" s="1"/>
  <c r="I127" i="22"/>
  <c r="H127" i="22"/>
  <c r="G127" i="22"/>
  <c r="BN126" i="22"/>
  <c r="Y387" i="22" s="1"/>
  <c r="BM126" i="22"/>
  <c r="BL126" i="22"/>
  <c r="W387" i="22" s="1"/>
  <c r="BK126" i="22"/>
  <c r="V387" i="22" s="1"/>
  <c r="BJ126" i="22"/>
  <c r="U387" i="22" s="1"/>
  <c r="BI126" i="22"/>
  <c r="BH126" i="22"/>
  <c r="S387" i="22" s="1"/>
  <c r="BG126" i="22"/>
  <c r="R387" i="22" s="1"/>
  <c r="I126" i="22"/>
  <c r="H126" i="22"/>
  <c r="G126" i="22"/>
  <c r="BN125" i="22"/>
  <c r="BM125" i="22"/>
  <c r="X386" i="22" s="1"/>
  <c r="BL125" i="22"/>
  <c r="BK125" i="22"/>
  <c r="V386" i="22" s="1"/>
  <c r="BJ125" i="22"/>
  <c r="U386" i="22" s="1"/>
  <c r="BI125" i="22"/>
  <c r="T386" i="22" s="1"/>
  <c r="BH125" i="22"/>
  <c r="BG125" i="22"/>
  <c r="R386" i="22" s="1"/>
  <c r="I125" i="22"/>
  <c r="H125" i="22"/>
  <c r="G125" i="22"/>
  <c r="BN124" i="22"/>
  <c r="Y385" i="22" s="1"/>
  <c r="BM124" i="22"/>
  <c r="X385" i="22" s="1"/>
  <c r="BL124" i="22"/>
  <c r="W385" i="22" s="1"/>
  <c r="BK124" i="22"/>
  <c r="BJ124" i="22"/>
  <c r="U385" i="22" s="1"/>
  <c r="BI124" i="22"/>
  <c r="T385" i="22" s="1"/>
  <c r="BH124" i="22"/>
  <c r="S385" i="22" s="1"/>
  <c r="BG124" i="22"/>
  <c r="R385" i="22" s="1"/>
  <c r="I124" i="22"/>
  <c r="H124" i="22"/>
  <c r="G124" i="22"/>
  <c r="BN123" i="22"/>
  <c r="Y384" i="22" s="1"/>
  <c r="BM123" i="22"/>
  <c r="X384" i="22" s="1"/>
  <c r="BL123" i="22"/>
  <c r="W384" i="22" s="1"/>
  <c r="BK123" i="22"/>
  <c r="V384" i="22" s="1"/>
  <c r="BJ123" i="22"/>
  <c r="U384" i="22" s="1"/>
  <c r="BI123" i="22"/>
  <c r="T384" i="22" s="1"/>
  <c r="BH123" i="22"/>
  <c r="S384" i="22" s="1"/>
  <c r="BG123" i="22"/>
  <c r="R384" i="22" s="1"/>
  <c r="I123" i="22"/>
  <c r="H123" i="22"/>
  <c r="G123" i="22"/>
  <c r="BN122" i="22"/>
  <c r="Y383" i="22" s="1"/>
  <c r="BM122" i="22"/>
  <c r="BL122" i="22"/>
  <c r="W383" i="22" s="1"/>
  <c r="BK122" i="22"/>
  <c r="V383" i="22" s="1"/>
  <c r="BJ122" i="22"/>
  <c r="U383" i="22" s="1"/>
  <c r="BI122" i="22"/>
  <c r="BH122" i="22"/>
  <c r="S383" i="22" s="1"/>
  <c r="BG122" i="22"/>
  <c r="R383" i="22" s="1"/>
  <c r="I122" i="22"/>
  <c r="H122" i="22"/>
  <c r="G122" i="22"/>
  <c r="BN121" i="22"/>
  <c r="BM121" i="22"/>
  <c r="X382" i="22" s="1"/>
  <c r="BL121" i="22"/>
  <c r="BK121" i="22"/>
  <c r="V382" i="22" s="1"/>
  <c r="BJ121" i="22"/>
  <c r="U382" i="22" s="1"/>
  <c r="BI121" i="22"/>
  <c r="T382" i="22" s="1"/>
  <c r="BH121" i="22"/>
  <c r="BG121" i="22"/>
  <c r="R382" i="22" s="1"/>
  <c r="I121" i="22"/>
  <c r="H121" i="22"/>
  <c r="G121" i="22"/>
  <c r="BN120" i="22"/>
  <c r="Y381" i="22" s="1"/>
  <c r="BM120" i="22"/>
  <c r="BL120" i="22"/>
  <c r="W381" i="22" s="1"/>
  <c r="BK120" i="22"/>
  <c r="V381" i="22" s="1"/>
  <c r="BJ120" i="22"/>
  <c r="U381" i="22" s="1"/>
  <c r="BI120" i="22"/>
  <c r="BH120" i="22"/>
  <c r="S381" i="22" s="1"/>
  <c r="BG120" i="22"/>
  <c r="R381" i="22" s="1"/>
  <c r="I120" i="22"/>
  <c r="H120" i="22"/>
  <c r="G120" i="22"/>
  <c r="BN119" i="22"/>
  <c r="BM119" i="22"/>
  <c r="X380" i="22" s="1"/>
  <c r="BL119" i="22"/>
  <c r="BK119" i="22"/>
  <c r="V380" i="22" s="1"/>
  <c r="BJ119" i="22"/>
  <c r="BI119" i="22"/>
  <c r="T380" i="22" s="1"/>
  <c r="BH119" i="22"/>
  <c r="BG119" i="22"/>
  <c r="R380" i="22" s="1"/>
  <c r="I119" i="22"/>
  <c r="H119" i="22"/>
  <c r="G119" i="22"/>
  <c r="BN118" i="22"/>
  <c r="Y379" i="22" s="1"/>
  <c r="BM118" i="22"/>
  <c r="BL118" i="22"/>
  <c r="W379" i="22" s="1"/>
  <c r="BK118" i="22"/>
  <c r="V379" i="22" s="1"/>
  <c r="BJ118" i="22"/>
  <c r="U379" i="22" s="1"/>
  <c r="BI118" i="22"/>
  <c r="BH118" i="22"/>
  <c r="S379" i="22" s="1"/>
  <c r="BG118" i="22"/>
  <c r="R379" i="22" s="1"/>
  <c r="I118" i="22"/>
  <c r="H118" i="22"/>
  <c r="G118" i="22"/>
  <c r="H110" i="22"/>
  <c r="G110" i="22"/>
  <c r="F110" i="22"/>
  <c r="E110" i="22"/>
  <c r="H107" i="22"/>
  <c r="G107" i="22"/>
  <c r="H106" i="22"/>
  <c r="G106" i="22"/>
  <c r="F106" i="22"/>
  <c r="E106" i="22"/>
  <c r="H103" i="22"/>
  <c r="G103" i="22"/>
  <c r="H102" i="22"/>
  <c r="G102" i="22"/>
  <c r="F102" i="22"/>
  <c r="E102" i="22"/>
  <c r="H99" i="22"/>
  <c r="G99" i="22"/>
  <c r="G89" i="22"/>
  <c r="F89" i="22"/>
  <c r="J89" i="22" s="1"/>
  <c r="I89" i="22" s="1"/>
  <c r="G88" i="22"/>
  <c r="H88" i="22" s="1"/>
  <c r="F88" i="22"/>
  <c r="E88" i="22" s="1"/>
  <c r="G87" i="22"/>
  <c r="K87" i="22" s="1"/>
  <c r="L87" i="22" s="1"/>
  <c r="F87" i="22"/>
  <c r="J87" i="22" s="1"/>
  <c r="K86" i="22"/>
  <c r="J86" i="22"/>
  <c r="K82" i="22"/>
  <c r="L110" i="22" s="1"/>
  <c r="J82" i="22"/>
  <c r="I110" i="22" s="1"/>
  <c r="G81" i="22"/>
  <c r="F81" i="22"/>
  <c r="F109" i="22" s="1"/>
  <c r="G80" i="22"/>
  <c r="K80" i="22" s="1"/>
  <c r="F80" i="22"/>
  <c r="E108" i="22" s="1"/>
  <c r="K79" i="22"/>
  <c r="F79" i="22"/>
  <c r="F107" i="22" s="1"/>
  <c r="BN75" i="22"/>
  <c r="Q388" i="22" s="1"/>
  <c r="BM75" i="22"/>
  <c r="BL75" i="22"/>
  <c r="O388" i="22" s="1"/>
  <c r="BK75" i="22"/>
  <c r="N388" i="22" s="1"/>
  <c r="BJ75" i="22"/>
  <c r="M388" i="22" s="1"/>
  <c r="BI75" i="22"/>
  <c r="L388" i="22" s="1"/>
  <c r="BH75" i="22"/>
  <c r="K388" i="22" s="1"/>
  <c r="BG75" i="22"/>
  <c r="J388" i="22" s="1"/>
  <c r="I75" i="22"/>
  <c r="H75" i="22"/>
  <c r="G75" i="22"/>
  <c r="BN74" i="22"/>
  <c r="Q387" i="22" s="1"/>
  <c r="BM74" i="22"/>
  <c r="P387" i="22" s="1"/>
  <c r="BL74" i="22"/>
  <c r="BK74" i="22"/>
  <c r="N387" i="22" s="1"/>
  <c r="BJ74" i="22"/>
  <c r="M387" i="22" s="1"/>
  <c r="BI74" i="22"/>
  <c r="L387" i="22" s="1"/>
  <c r="BH74" i="22"/>
  <c r="K387" i="22" s="1"/>
  <c r="BG74" i="22"/>
  <c r="J387" i="22" s="1"/>
  <c r="I74" i="22"/>
  <c r="H74" i="22"/>
  <c r="G74" i="22"/>
  <c r="BN73" i="22"/>
  <c r="Q386" i="22" s="1"/>
  <c r="BM73" i="22"/>
  <c r="P386" i="22" s="1"/>
  <c r="BL73" i="22"/>
  <c r="O386" i="22" s="1"/>
  <c r="BK73" i="22"/>
  <c r="N386" i="22" s="1"/>
  <c r="BJ73" i="22"/>
  <c r="M386" i="22" s="1"/>
  <c r="BI73" i="22"/>
  <c r="BH73" i="22"/>
  <c r="K386" i="22" s="1"/>
  <c r="BG73" i="22"/>
  <c r="J386" i="22" s="1"/>
  <c r="I73" i="22"/>
  <c r="H73" i="22"/>
  <c r="G73" i="22"/>
  <c r="BN72" i="22"/>
  <c r="Q385" i="22" s="1"/>
  <c r="BM72" i="22"/>
  <c r="P385" i="22" s="1"/>
  <c r="BL72" i="22"/>
  <c r="O385" i="22" s="1"/>
  <c r="BK72" i="22"/>
  <c r="N385" i="22" s="1"/>
  <c r="BJ72" i="22"/>
  <c r="M385" i="22" s="1"/>
  <c r="BI72" i="22"/>
  <c r="BH72" i="22"/>
  <c r="BG72" i="22"/>
  <c r="J385" i="22" s="1"/>
  <c r="I72" i="22"/>
  <c r="H72" i="22"/>
  <c r="G72" i="22"/>
  <c r="BN71" i="22"/>
  <c r="Q384" i="22" s="1"/>
  <c r="BM71" i="22"/>
  <c r="BL71" i="22"/>
  <c r="O384" i="22" s="1"/>
  <c r="BK71" i="22"/>
  <c r="N384" i="22" s="1"/>
  <c r="BJ71" i="22"/>
  <c r="M384" i="22" s="1"/>
  <c r="BI71" i="22"/>
  <c r="L384" i="22" s="1"/>
  <c r="BH71" i="22"/>
  <c r="K384" i="22" s="1"/>
  <c r="BG71" i="22"/>
  <c r="J384" i="22" s="1"/>
  <c r="I71" i="22"/>
  <c r="H71" i="22"/>
  <c r="G71" i="22"/>
  <c r="BN70" i="22"/>
  <c r="Q383" i="22" s="1"/>
  <c r="BM70" i="22"/>
  <c r="BL70" i="22"/>
  <c r="O383" i="22" s="1"/>
  <c r="BK70" i="22"/>
  <c r="N383" i="22" s="1"/>
  <c r="BJ70" i="22"/>
  <c r="M383" i="22" s="1"/>
  <c r="BI70" i="22"/>
  <c r="BH70" i="22"/>
  <c r="K383" i="22" s="1"/>
  <c r="BG70" i="22"/>
  <c r="J383" i="22" s="1"/>
  <c r="I70" i="22"/>
  <c r="H70" i="22"/>
  <c r="G70" i="22"/>
  <c r="BN69" i="22"/>
  <c r="Q382" i="22" s="1"/>
  <c r="BM69" i="22"/>
  <c r="P382" i="22" s="1"/>
  <c r="BL69" i="22"/>
  <c r="BK69" i="22"/>
  <c r="N382" i="22" s="1"/>
  <c r="BJ69" i="22"/>
  <c r="M382" i="22" s="1"/>
  <c r="BI69" i="22"/>
  <c r="L382" i="22" s="1"/>
  <c r="BH69" i="22"/>
  <c r="BG69" i="22"/>
  <c r="J382" i="22" s="1"/>
  <c r="I69" i="22"/>
  <c r="H69" i="22"/>
  <c r="G69" i="22"/>
  <c r="BN68" i="22"/>
  <c r="Q381" i="22" s="1"/>
  <c r="BM68" i="22"/>
  <c r="P381" i="22" s="1"/>
  <c r="BL68" i="22"/>
  <c r="O381" i="22" s="1"/>
  <c r="BK68" i="22"/>
  <c r="N381" i="22" s="1"/>
  <c r="BJ68" i="22"/>
  <c r="M381" i="22" s="1"/>
  <c r="BI68" i="22"/>
  <c r="L381" i="22" s="1"/>
  <c r="BH68" i="22"/>
  <c r="K381" i="22" s="1"/>
  <c r="BG68" i="22"/>
  <c r="J381" i="22" s="1"/>
  <c r="I68" i="22"/>
  <c r="H68" i="22"/>
  <c r="G68" i="22"/>
  <c r="BN67" i="22"/>
  <c r="Q380" i="22" s="1"/>
  <c r="BM67" i="22"/>
  <c r="P380" i="22" s="1"/>
  <c r="BL67" i="22"/>
  <c r="O380" i="22" s="1"/>
  <c r="BK67" i="22"/>
  <c r="N380" i="22" s="1"/>
  <c r="BJ67" i="22"/>
  <c r="M380" i="22" s="1"/>
  <c r="BI67" i="22"/>
  <c r="L380" i="22" s="1"/>
  <c r="BH67" i="22"/>
  <c r="K380" i="22" s="1"/>
  <c r="BG67" i="22"/>
  <c r="J380" i="22" s="1"/>
  <c r="I67" i="22"/>
  <c r="H67" i="22"/>
  <c r="G67" i="22"/>
  <c r="BN66" i="22"/>
  <c r="Q379" i="22" s="1"/>
  <c r="BM66" i="22"/>
  <c r="BL66" i="22"/>
  <c r="O379" i="22" s="1"/>
  <c r="BK66" i="22"/>
  <c r="N379" i="22" s="1"/>
  <c r="BJ66" i="22"/>
  <c r="M379" i="22" s="1"/>
  <c r="BI66" i="22"/>
  <c r="BH66" i="22"/>
  <c r="K379" i="22" s="1"/>
  <c r="BG66" i="22"/>
  <c r="J379" i="22" s="1"/>
  <c r="I66" i="22"/>
  <c r="H66" i="22"/>
  <c r="G66" i="22"/>
  <c r="H58" i="22"/>
  <c r="G58" i="22"/>
  <c r="F58" i="22"/>
  <c r="E58" i="22"/>
  <c r="H55" i="22"/>
  <c r="G55" i="22"/>
  <c r="H54" i="22"/>
  <c r="G54" i="22"/>
  <c r="F54" i="22"/>
  <c r="E54" i="22"/>
  <c r="H51" i="22"/>
  <c r="G51" i="22"/>
  <c r="H50" i="22"/>
  <c r="G50" i="22"/>
  <c r="F50" i="22"/>
  <c r="E50" i="22"/>
  <c r="H47" i="22"/>
  <c r="G47" i="22"/>
  <c r="G37" i="22"/>
  <c r="H37" i="22" s="1"/>
  <c r="F37" i="22"/>
  <c r="J37" i="22" s="1"/>
  <c r="I37" i="22" s="1"/>
  <c r="G36" i="22"/>
  <c r="H36" i="22" s="1"/>
  <c r="F36" i="22"/>
  <c r="J36" i="22" s="1"/>
  <c r="I36" i="22" s="1"/>
  <c r="G35" i="22"/>
  <c r="H35" i="22" s="1"/>
  <c r="F35" i="22"/>
  <c r="J35" i="22" s="1"/>
  <c r="K34" i="22"/>
  <c r="J34" i="22"/>
  <c r="K30" i="22"/>
  <c r="L58" i="22" s="1"/>
  <c r="J30" i="22"/>
  <c r="G29" i="22"/>
  <c r="F29" i="22"/>
  <c r="F57" i="22" s="1"/>
  <c r="G28" i="22"/>
  <c r="H28" i="22" s="1"/>
  <c r="F28" i="22"/>
  <c r="K27" i="22"/>
  <c r="K55" i="22" s="1"/>
  <c r="F27" i="22"/>
  <c r="F55" i="22" s="1"/>
  <c r="BN23" i="22"/>
  <c r="I388" i="22" s="1"/>
  <c r="BM23" i="22"/>
  <c r="BL23" i="22"/>
  <c r="G388" i="22" s="1"/>
  <c r="BK23" i="22"/>
  <c r="F388" i="22" s="1"/>
  <c r="BJ23" i="22"/>
  <c r="E388" i="22" s="1"/>
  <c r="BI23" i="22"/>
  <c r="BH23" i="22"/>
  <c r="C388" i="22" s="1"/>
  <c r="BG23" i="22"/>
  <c r="B388" i="22" s="1"/>
  <c r="I23" i="22"/>
  <c r="H23" i="22"/>
  <c r="G23" i="22"/>
  <c r="BN22" i="22"/>
  <c r="I387" i="22" s="1"/>
  <c r="BM22" i="22"/>
  <c r="BL22" i="22"/>
  <c r="BK22" i="22"/>
  <c r="F387" i="22" s="1"/>
  <c r="BJ22" i="22"/>
  <c r="E387" i="22" s="1"/>
  <c r="BI22" i="22"/>
  <c r="D387" i="22" s="1"/>
  <c r="BH22" i="22"/>
  <c r="BG22" i="22"/>
  <c r="B387" i="22" s="1"/>
  <c r="I22" i="22"/>
  <c r="H22" i="22"/>
  <c r="G22" i="22"/>
  <c r="BN21" i="22"/>
  <c r="I386" i="22" s="1"/>
  <c r="BM21" i="22"/>
  <c r="H386" i="22" s="1"/>
  <c r="BL21" i="22"/>
  <c r="BK21" i="22"/>
  <c r="F386" i="22" s="1"/>
  <c r="BJ21" i="22"/>
  <c r="E386" i="22" s="1"/>
  <c r="BI21" i="22"/>
  <c r="D386" i="22" s="1"/>
  <c r="BH21" i="22"/>
  <c r="C386" i="22" s="1"/>
  <c r="BG21" i="22"/>
  <c r="B386" i="22" s="1"/>
  <c r="I21" i="22"/>
  <c r="H21" i="22"/>
  <c r="G21" i="22"/>
  <c r="BN20" i="22"/>
  <c r="I385" i="22" s="1"/>
  <c r="BM20" i="22"/>
  <c r="H385" i="22" s="1"/>
  <c r="BL20" i="22"/>
  <c r="G385" i="22" s="1"/>
  <c r="BK20" i="22"/>
  <c r="BJ20" i="22"/>
  <c r="E385" i="22" s="1"/>
  <c r="BI20" i="22"/>
  <c r="D385" i="22" s="1"/>
  <c r="BH20" i="22"/>
  <c r="C385" i="22" s="1"/>
  <c r="BG20" i="22"/>
  <c r="B385" i="22" s="1"/>
  <c r="I20" i="22"/>
  <c r="H20" i="22"/>
  <c r="G20" i="22"/>
  <c r="BN19" i="22"/>
  <c r="I384" i="22" s="1"/>
  <c r="BM19" i="22"/>
  <c r="H384" i="22" s="1"/>
  <c r="BL19" i="22"/>
  <c r="G384" i="22" s="1"/>
  <c r="BK19" i="22"/>
  <c r="F384" i="22" s="1"/>
  <c r="BJ19" i="22"/>
  <c r="E384" i="22" s="1"/>
  <c r="BI19" i="22"/>
  <c r="BH19" i="22"/>
  <c r="C384" i="22" s="1"/>
  <c r="BG19" i="22"/>
  <c r="B384" i="22" s="1"/>
  <c r="I19" i="22"/>
  <c r="H19" i="22"/>
  <c r="G19" i="22"/>
  <c r="BN18" i="22"/>
  <c r="I383" i="22" s="1"/>
  <c r="BM18" i="22"/>
  <c r="BL18" i="22"/>
  <c r="G383" i="22" s="1"/>
  <c r="BK18" i="22"/>
  <c r="F383" i="22" s="1"/>
  <c r="BJ18" i="22"/>
  <c r="E383" i="22" s="1"/>
  <c r="BI18" i="22"/>
  <c r="D383" i="22" s="1"/>
  <c r="BH18" i="22"/>
  <c r="BG18" i="22"/>
  <c r="B383" i="22" s="1"/>
  <c r="I18" i="22"/>
  <c r="H18" i="22"/>
  <c r="G18" i="22"/>
  <c r="BN17" i="22"/>
  <c r="I382" i="22" s="1"/>
  <c r="BM17" i="22"/>
  <c r="H382" i="22" s="1"/>
  <c r="BL17" i="22"/>
  <c r="BK17" i="22"/>
  <c r="F382" i="22" s="1"/>
  <c r="BJ17" i="22"/>
  <c r="E382" i="22" s="1"/>
  <c r="BI17" i="22"/>
  <c r="D382" i="22" s="1"/>
  <c r="BH17" i="22"/>
  <c r="C382" i="22" s="1"/>
  <c r="BG17" i="22"/>
  <c r="B382" i="22" s="1"/>
  <c r="I17" i="22"/>
  <c r="H17" i="22"/>
  <c r="G17" i="22"/>
  <c r="BN16" i="22"/>
  <c r="I381" i="22" s="1"/>
  <c r="BM16" i="22"/>
  <c r="H381" i="22" s="1"/>
  <c r="BL16" i="22"/>
  <c r="G381" i="22" s="1"/>
  <c r="BK16" i="22"/>
  <c r="BJ16" i="22"/>
  <c r="E381" i="22" s="1"/>
  <c r="BI16" i="22"/>
  <c r="D381" i="22" s="1"/>
  <c r="BH16" i="22"/>
  <c r="C381" i="22" s="1"/>
  <c r="BG16" i="22"/>
  <c r="B381" i="22" s="1"/>
  <c r="I16" i="22"/>
  <c r="H16" i="22"/>
  <c r="G16" i="22"/>
  <c r="BN15" i="22"/>
  <c r="I380" i="22" s="1"/>
  <c r="BM15" i="22"/>
  <c r="H380" i="22" s="1"/>
  <c r="BL15" i="22"/>
  <c r="G380" i="22" s="1"/>
  <c r="BK15" i="22"/>
  <c r="F380" i="22" s="1"/>
  <c r="BJ15" i="22"/>
  <c r="E380" i="22" s="1"/>
  <c r="BI15" i="22"/>
  <c r="BH15" i="22"/>
  <c r="BG15" i="22"/>
  <c r="B380" i="22" s="1"/>
  <c r="I15" i="22"/>
  <c r="H15" i="22"/>
  <c r="G15" i="22"/>
  <c r="BN14" i="22"/>
  <c r="I379" i="22" s="1"/>
  <c r="BM14" i="22"/>
  <c r="BL14" i="22"/>
  <c r="G379" i="22" s="1"/>
  <c r="BK14" i="22"/>
  <c r="F379" i="22" s="1"/>
  <c r="BJ14" i="22"/>
  <c r="E379" i="22" s="1"/>
  <c r="BI14" i="22"/>
  <c r="D379" i="22" s="1"/>
  <c r="BH14" i="22"/>
  <c r="C379" i="22" s="1"/>
  <c r="BG14" i="22"/>
  <c r="B379" i="22" s="1"/>
  <c r="I14" i="22"/>
  <c r="H14" i="22"/>
  <c r="G14" i="22"/>
  <c r="B116" i="21"/>
  <c r="C115" i="21" s="1"/>
  <c r="D96" i="21"/>
  <c r="D95" i="21"/>
  <c r="D94" i="21"/>
  <c r="I83" i="21"/>
  <c r="H83" i="21"/>
  <c r="G83" i="21"/>
  <c r="I82" i="21"/>
  <c r="H82" i="21"/>
  <c r="G8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53" i="21"/>
  <c r="H53" i="21"/>
  <c r="G53" i="21"/>
  <c r="I52" i="21"/>
  <c r="H52" i="21"/>
  <c r="G5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23" i="21"/>
  <c r="H23" i="21"/>
  <c r="G23" i="21"/>
  <c r="I22" i="21"/>
  <c r="H22" i="21"/>
  <c r="G2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C135" i="19"/>
  <c r="C134" i="19"/>
  <c r="B130" i="19"/>
  <c r="C128" i="19" s="1"/>
  <c r="D96" i="19"/>
  <c r="D95" i="19"/>
  <c r="D94" i="19"/>
  <c r="I83" i="19"/>
  <c r="H83" i="19"/>
  <c r="G83" i="19"/>
  <c r="I82" i="19"/>
  <c r="H82" i="19"/>
  <c r="G8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Q298" i="23" l="1"/>
  <c r="M298" i="23"/>
  <c r="N298" i="23"/>
  <c r="L298" i="23"/>
  <c r="P298" i="23"/>
  <c r="J298" i="23"/>
  <c r="K298" i="23"/>
  <c r="O298" i="23"/>
  <c r="BU71" i="24"/>
  <c r="X302" i="23"/>
  <c r="E261" i="23"/>
  <c r="V299" i="23"/>
  <c r="M297" i="23"/>
  <c r="O297" i="23"/>
  <c r="P297" i="23"/>
  <c r="Q297" i="23"/>
  <c r="L297" i="23"/>
  <c r="K297" i="23"/>
  <c r="N297" i="23"/>
  <c r="F298" i="23"/>
  <c r="C298" i="23"/>
  <c r="AA298" i="23" s="1"/>
  <c r="D298" i="23"/>
  <c r="H298" i="23"/>
  <c r="I298" i="23"/>
  <c r="AG298" i="23" s="1"/>
  <c r="G298" i="23"/>
  <c r="E298" i="23"/>
  <c r="J303" i="23"/>
  <c r="M303" i="23"/>
  <c r="N303" i="23"/>
  <c r="K303" i="23"/>
  <c r="O303" i="23"/>
  <c r="Q303" i="23"/>
  <c r="L303" i="23"/>
  <c r="S303" i="23"/>
  <c r="W303" i="23"/>
  <c r="T303" i="23"/>
  <c r="U303" i="23"/>
  <c r="V303" i="23"/>
  <c r="X303" i="23"/>
  <c r="Y303" i="23"/>
  <c r="E256" i="23"/>
  <c r="K305" i="23"/>
  <c r="P305" i="23"/>
  <c r="O305" i="23"/>
  <c r="M305" i="23"/>
  <c r="Q305" i="23"/>
  <c r="L305" i="23"/>
  <c r="I301" i="23"/>
  <c r="E301" i="23"/>
  <c r="C301" i="23"/>
  <c r="F301" i="23"/>
  <c r="H301" i="23"/>
  <c r="D301" i="23"/>
  <c r="G301" i="23"/>
  <c r="R304" i="23"/>
  <c r="T304" i="23"/>
  <c r="X304" i="23"/>
  <c r="Y304" i="23"/>
  <c r="S304" i="23"/>
  <c r="U304" i="23"/>
  <c r="W304" i="23"/>
  <c r="Q301" i="23"/>
  <c r="L301" i="23"/>
  <c r="O301" i="23"/>
  <c r="P301" i="23"/>
  <c r="K301" i="23"/>
  <c r="M301" i="23"/>
  <c r="Q300" i="23"/>
  <c r="O300" i="23"/>
  <c r="L300" i="23"/>
  <c r="N300" i="23"/>
  <c r="P300" i="23"/>
  <c r="K300" i="23"/>
  <c r="P303" i="23"/>
  <c r="B274" i="23"/>
  <c r="B302" i="23" s="1"/>
  <c r="F306" i="23"/>
  <c r="I306" i="23"/>
  <c r="H306" i="23"/>
  <c r="C306" i="23"/>
  <c r="G306" i="23"/>
  <c r="AE306" i="23" s="1"/>
  <c r="E306" i="23"/>
  <c r="D306" i="23"/>
  <c r="O299" i="23"/>
  <c r="M299" i="23"/>
  <c r="AC299" i="23" s="1"/>
  <c r="Q299" i="23"/>
  <c r="K299" i="23"/>
  <c r="AA299" i="23" s="1"/>
  <c r="N299" i="23"/>
  <c r="AD299" i="23" s="1"/>
  <c r="E305" i="23"/>
  <c r="I305" i="23"/>
  <c r="C305" i="23"/>
  <c r="G305" i="23"/>
  <c r="F305" i="23"/>
  <c r="D305" i="23"/>
  <c r="H305" i="23"/>
  <c r="C303" i="23"/>
  <c r="AA303" i="23" s="1"/>
  <c r="G303" i="23"/>
  <c r="F303" i="23"/>
  <c r="AD303" i="23" s="1"/>
  <c r="E303" i="23"/>
  <c r="D303" i="23"/>
  <c r="H303" i="23"/>
  <c r="I303" i="23"/>
  <c r="M300" i="23"/>
  <c r="V304" i="23"/>
  <c r="N301" i="23"/>
  <c r="H304" i="23"/>
  <c r="D304" i="23"/>
  <c r="F304" i="23"/>
  <c r="I304" i="23"/>
  <c r="G304" i="23"/>
  <c r="E304" i="23"/>
  <c r="C304" i="23"/>
  <c r="B272" i="23"/>
  <c r="E272" i="23" s="1"/>
  <c r="Y305" i="23"/>
  <c r="U305" i="23"/>
  <c r="T305" i="23"/>
  <c r="V305" i="23"/>
  <c r="X305" i="23"/>
  <c r="AF305" i="23" s="1"/>
  <c r="R303" i="23"/>
  <c r="N306" i="23"/>
  <c r="Q306" i="23"/>
  <c r="P306" i="23"/>
  <c r="M306" i="23"/>
  <c r="L306" i="23"/>
  <c r="L304" i="23"/>
  <c r="P304" i="23"/>
  <c r="M304" i="23"/>
  <c r="N304" i="23"/>
  <c r="K304" i="23"/>
  <c r="AA304" i="23" s="1"/>
  <c r="Q304" i="23"/>
  <c r="O304" i="23"/>
  <c r="E263" i="23"/>
  <c r="R302" i="23"/>
  <c r="V302" i="23"/>
  <c r="W302" i="23"/>
  <c r="Y302" i="23"/>
  <c r="S302" i="23"/>
  <c r="U302" i="23"/>
  <c r="L299" i="23"/>
  <c r="AB299" i="23" s="1"/>
  <c r="B327" i="23" s="1"/>
  <c r="P299" i="23"/>
  <c r="Y297" i="23"/>
  <c r="T297" i="23"/>
  <c r="U297" i="23"/>
  <c r="V297" i="23"/>
  <c r="X297" i="23"/>
  <c r="AF297" i="23" s="1"/>
  <c r="N305" i="23"/>
  <c r="K306" i="23"/>
  <c r="W305" i="23"/>
  <c r="BU126" i="24"/>
  <c r="BU75" i="24"/>
  <c r="BU17" i="24"/>
  <c r="BU120" i="24"/>
  <c r="BU118" i="24"/>
  <c r="L56" i="24"/>
  <c r="BU74" i="24"/>
  <c r="BU125" i="24"/>
  <c r="BU70" i="24"/>
  <c r="BU122" i="24"/>
  <c r="L52" i="24"/>
  <c r="BU124" i="24"/>
  <c r="I57" i="24"/>
  <c r="BU18" i="24"/>
  <c r="BU15" i="24"/>
  <c r="BU16" i="24"/>
  <c r="BU19" i="24"/>
  <c r="S201" i="24"/>
  <c r="O201" i="24"/>
  <c r="F201" i="24"/>
  <c r="M201" i="24"/>
  <c r="BU21" i="24"/>
  <c r="L199" i="24"/>
  <c r="P198" i="24"/>
  <c r="R203" i="24"/>
  <c r="M199" i="24"/>
  <c r="X204" i="24"/>
  <c r="Q197" i="24"/>
  <c r="M202" i="24"/>
  <c r="E205" i="24"/>
  <c r="F203" i="24"/>
  <c r="F196" i="24"/>
  <c r="T203" i="24"/>
  <c r="Y204" i="24"/>
  <c r="H196" i="24"/>
  <c r="S196" i="24"/>
  <c r="N198" i="24"/>
  <c r="H203" i="24"/>
  <c r="J200" i="24"/>
  <c r="G204" i="24"/>
  <c r="L204" i="24"/>
  <c r="H198" i="24"/>
  <c r="Y197" i="24"/>
  <c r="V205" i="24"/>
  <c r="K204" i="24"/>
  <c r="B198" i="24"/>
  <c r="S198" i="24"/>
  <c r="U199" i="24"/>
  <c r="O197" i="24"/>
  <c r="W201" i="24"/>
  <c r="J199" i="24"/>
  <c r="R199" i="24"/>
  <c r="F198" i="24"/>
  <c r="V196" i="24"/>
  <c r="K197" i="24"/>
  <c r="P204" i="24"/>
  <c r="I202" i="24"/>
  <c r="C204" i="24"/>
  <c r="E201" i="24"/>
  <c r="M196" i="24"/>
  <c r="L203" i="24"/>
  <c r="Y200" i="24"/>
  <c r="K199" i="24"/>
  <c r="Y203" i="24"/>
  <c r="B205" i="24"/>
  <c r="L202" i="24"/>
  <c r="Y205" i="24"/>
  <c r="B199" i="24"/>
  <c r="X200" i="24"/>
  <c r="B200" i="24"/>
  <c r="Q198" i="24"/>
  <c r="T199" i="24"/>
  <c r="K196" i="24"/>
  <c r="T201" i="24"/>
  <c r="N201" i="24"/>
  <c r="K205" i="24"/>
  <c r="I200" i="24"/>
  <c r="H201" i="24"/>
  <c r="D202" i="24"/>
  <c r="P205" i="24"/>
  <c r="BU123" i="24"/>
  <c r="H200" i="24"/>
  <c r="M200" i="24"/>
  <c r="X198" i="24"/>
  <c r="C200" i="24"/>
  <c r="T200" i="24"/>
  <c r="G196" i="24"/>
  <c r="I199" i="24"/>
  <c r="L108" i="24"/>
  <c r="V202" i="24"/>
  <c r="X196" i="24"/>
  <c r="BU119" i="24"/>
  <c r="R197" i="24"/>
  <c r="P197" i="24"/>
  <c r="K198" i="24"/>
  <c r="I197" i="24"/>
  <c r="I205" i="24"/>
  <c r="M204" i="24"/>
  <c r="U204" i="24"/>
  <c r="J202" i="24"/>
  <c r="U198" i="24"/>
  <c r="I198" i="24"/>
  <c r="J203" i="24"/>
  <c r="N197" i="24"/>
  <c r="B202" i="24"/>
  <c r="J197" i="24"/>
  <c r="J205" i="24"/>
  <c r="S202" i="24"/>
  <c r="B197" i="24"/>
  <c r="J196" i="24"/>
  <c r="M203" i="24"/>
  <c r="G198" i="24"/>
  <c r="U203" i="24"/>
  <c r="E203" i="24"/>
  <c r="N199" i="24"/>
  <c r="V201" i="24"/>
  <c r="C199" i="24"/>
  <c r="V199" i="24"/>
  <c r="BU73" i="24"/>
  <c r="H205" i="24"/>
  <c r="E204" i="24"/>
  <c r="J198" i="24"/>
  <c r="F204" i="24"/>
  <c r="R202" i="24"/>
  <c r="H204" i="24"/>
  <c r="J201" i="24"/>
  <c r="X202" i="24"/>
  <c r="K203" i="24"/>
  <c r="E200" i="24"/>
  <c r="N200" i="24"/>
  <c r="G202" i="24"/>
  <c r="B204" i="24"/>
  <c r="K202" i="24"/>
  <c r="F197" i="24"/>
  <c r="Q199" i="24"/>
  <c r="R200" i="24"/>
  <c r="W198" i="24"/>
  <c r="D201" i="24"/>
  <c r="H202" i="24"/>
  <c r="L205" i="24"/>
  <c r="L104" i="24"/>
  <c r="T196" i="24"/>
  <c r="U202" i="24"/>
  <c r="E199" i="24"/>
  <c r="P203" i="24"/>
  <c r="O199" i="24"/>
  <c r="BU68" i="24"/>
  <c r="BU14" i="24"/>
  <c r="P200" i="24"/>
  <c r="I196" i="24"/>
  <c r="I204" i="24"/>
  <c r="J204" i="24"/>
  <c r="R204" i="24"/>
  <c r="H197" i="24"/>
  <c r="N202" i="24"/>
  <c r="Q202" i="24"/>
  <c r="S199" i="24"/>
  <c r="R196" i="24"/>
  <c r="B203" i="24"/>
  <c r="V197" i="24"/>
  <c r="I201" i="24"/>
  <c r="P199" i="24"/>
  <c r="W202" i="24"/>
  <c r="I49" i="24"/>
  <c r="S205" i="24"/>
  <c r="R198" i="24"/>
  <c r="Y196" i="24"/>
  <c r="L197" i="24"/>
  <c r="V198" i="24"/>
  <c r="C205" i="24"/>
  <c r="N204" i="24"/>
  <c r="N203" i="24"/>
  <c r="K201" i="24"/>
  <c r="D203" i="24"/>
  <c r="B196" i="24"/>
  <c r="N205" i="24"/>
  <c r="P196" i="24"/>
  <c r="X197" i="24"/>
  <c r="F199" i="24"/>
  <c r="M198" i="24"/>
  <c r="R201" i="24"/>
  <c r="E197" i="24"/>
  <c r="S203" i="24"/>
  <c r="U200" i="24"/>
  <c r="U201" i="24"/>
  <c r="M197" i="24"/>
  <c r="Q200" i="24"/>
  <c r="U197" i="24"/>
  <c r="R205" i="24"/>
  <c r="M205" i="24"/>
  <c r="G200" i="24"/>
  <c r="L156" i="24"/>
  <c r="P201" i="24"/>
  <c r="C197" i="24"/>
  <c r="X201" i="24"/>
  <c r="T202" i="24"/>
  <c r="H199" i="24"/>
  <c r="V204" i="24"/>
  <c r="Q201" i="24"/>
  <c r="F202" i="24"/>
  <c r="F205" i="24"/>
  <c r="P202" i="24"/>
  <c r="U205" i="24"/>
  <c r="O205" i="24"/>
  <c r="Y199" i="24"/>
  <c r="D198" i="24"/>
  <c r="I203" i="24"/>
  <c r="S197" i="24"/>
  <c r="T205" i="24"/>
  <c r="D200" i="24"/>
  <c r="C196" i="24"/>
  <c r="E196" i="24"/>
  <c r="Y198" i="24"/>
  <c r="E198" i="24"/>
  <c r="X205" i="24"/>
  <c r="L160" i="24"/>
  <c r="C202" i="24"/>
  <c r="O203" i="24"/>
  <c r="U196" i="24"/>
  <c r="L201" i="24"/>
  <c r="C201" i="24"/>
  <c r="D196" i="24"/>
  <c r="Q196" i="24"/>
  <c r="C198" i="24"/>
  <c r="E202" i="24"/>
  <c r="B201" i="24"/>
  <c r="N196" i="24"/>
  <c r="Q203" i="24"/>
  <c r="V200" i="24"/>
  <c r="W196" i="24"/>
  <c r="Q205" i="24"/>
  <c r="T204" i="24"/>
  <c r="K200" i="24"/>
  <c r="Y202" i="24"/>
  <c r="G197" i="24"/>
  <c r="S204" i="24"/>
  <c r="S200" i="24"/>
  <c r="W203" i="24"/>
  <c r="T197" i="24"/>
  <c r="L196" i="24"/>
  <c r="W205" i="24"/>
  <c r="W200" i="24"/>
  <c r="G203" i="24"/>
  <c r="Y201" i="24"/>
  <c r="G201" i="24"/>
  <c r="O196" i="24"/>
  <c r="O204" i="24"/>
  <c r="D199" i="24"/>
  <c r="W204" i="24"/>
  <c r="F200" i="24"/>
  <c r="O198" i="24"/>
  <c r="W197" i="24"/>
  <c r="G199" i="24"/>
  <c r="O202" i="24"/>
  <c r="G205" i="24"/>
  <c r="Q204" i="24"/>
  <c r="L198" i="24"/>
  <c r="O200" i="24"/>
  <c r="W199" i="24"/>
  <c r="D197" i="24"/>
  <c r="X199" i="24"/>
  <c r="X203" i="24"/>
  <c r="C203" i="24"/>
  <c r="V203" i="24"/>
  <c r="D204" i="24"/>
  <c r="I109" i="24"/>
  <c r="I105" i="24"/>
  <c r="I101" i="24"/>
  <c r="T198" i="24"/>
  <c r="L200" i="24"/>
  <c r="BU123" i="23"/>
  <c r="B301" i="23"/>
  <c r="B297" i="23"/>
  <c r="BU17" i="23"/>
  <c r="AD297" i="23"/>
  <c r="BU74" i="23"/>
  <c r="J305" i="23"/>
  <c r="AE297" i="23"/>
  <c r="AA297" i="23"/>
  <c r="E276" i="23"/>
  <c r="E274" i="23"/>
  <c r="J306" i="23"/>
  <c r="E277" i="23"/>
  <c r="J304" i="23"/>
  <c r="J300" i="23"/>
  <c r="AE298" i="23"/>
  <c r="AD298" i="23"/>
  <c r="BU120" i="23"/>
  <c r="Z303" i="23"/>
  <c r="E275" i="23"/>
  <c r="J297" i="23"/>
  <c r="Z297" i="23" s="1"/>
  <c r="E269" i="23"/>
  <c r="E270" i="23"/>
  <c r="BU122" i="23"/>
  <c r="J299" i="23"/>
  <c r="Z299" i="23" s="1"/>
  <c r="E271" i="23"/>
  <c r="BU23" i="23"/>
  <c r="BU21" i="23"/>
  <c r="BU72" i="23"/>
  <c r="BU127" i="23"/>
  <c r="AB298" i="23"/>
  <c r="B298" i="23"/>
  <c r="Z298" i="23" s="1"/>
  <c r="AC298" i="23"/>
  <c r="BU124" i="23"/>
  <c r="BU126" i="23"/>
  <c r="BU18" i="23"/>
  <c r="BU118" i="23"/>
  <c r="BU69" i="23"/>
  <c r="BU71" i="23"/>
  <c r="BU73" i="23"/>
  <c r="BU14" i="23"/>
  <c r="BU121" i="23"/>
  <c r="BU22" i="23"/>
  <c r="BU75" i="23"/>
  <c r="BU68" i="23"/>
  <c r="L160" i="23"/>
  <c r="BU20" i="23"/>
  <c r="BU119" i="23"/>
  <c r="L152" i="23"/>
  <c r="E273" i="23"/>
  <c r="BU67" i="23"/>
  <c r="BU15" i="23"/>
  <c r="BU16" i="23"/>
  <c r="AA301" i="23"/>
  <c r="AF298" i="23"/>
  <c r="J301" i="23"/>
  <c r="L108" i="23"/>
  <c r="BU19" i="23"/>
  <c r="B304" i="23"/>
  <c r="L100" i="23"/>
  <c r="R305" i="23"/>
  <c r="L52" i="23"/>
  <c r="BU125" i="23"/>
  <c r="BU70" i="23"/>
  <c r="I161" i="23"/>
  <c r="I157" i="23"/>
  <c r="I153" i="23"/>
  <c r="AA305" i="23"/>
  <c r="L56" i="23"/>
  <c r="E278" i="23"/>
  <c r="B306" i="23"/>
  <c r="BU66" i="23"/>
  <c r="I109" i="23"/>
  <c r="I105" i="23"/>
  <c r="I101" i="23"/>
  <c r="B310" i="22"/>
  <c r="C310" i="22"/>
  <c r="D311" i="22"/>
  <c r="D323" i="22"/>
  <c r="D329" i="22"/>
  <c r="D346" i="22"/>
  <c r="D345" i="22"/>
  <c r="C345" i="22"/>
  <c r="B347" i="22"/>
  <c r="D341" i="22"/>
  <c r="C343" i="22"/>
  <c r="B343" i="22"/>
  <c r="B342" i="22"/>
  <c r="D339" i="22"/>
  <c r="C339" i="22"/>
  <c r="C338" i="22"/>
  <c r="B338" i="22"/>
  <c r="B337" i="22"/>
  <c r="D335" i="22"/>
  <c r="D334" i="22"/>
  <c r="C334" i="22"/>
  <c r="C333" i="22"/>
  <c r="B333" i="22"/>
  <c r="D330" i="22"/>
  <c r="C329" i="22"/>
  <c r="B331" i="22"/>
  <c r="D325" i="22"/>
  <c r="C327" i="22"/>
  <c r="C325" i="22"/>
  <c r="B327" i="22"/>
  <c r="B326" i="22"/>
  <c r="C323" i="22"/>
  <c r="C322" i="22"/>
  <c r="B322" i="22"/>
  <c r="B321" i="22"/>
  <c r="D319" i="22"/>
  <c r="D318" i="22"/>
  <c r="C318" i="22"/>
  <c r="C317" i="22"/>
  <c r="B318" i="22"/>
  <c r="B317" i="22"/>
  <c r="D314" i="22"/>
  <c r="D313" i="22"/>
  <c r="C313" i="22"/>
  <c r="B315" i="22"/>
  <c r="B313" i="22"/>
  <c r="D309" i="22"/>
  <c r="C311" i="22"/>
  <c r="B311" i="22"/>
  <c r="B309" i="22"/>
  <c r="B314" i="22"/>
  <c r="C315" i="22"/>
  <c r="D317" i="22"/>
  <c r="B319" i="22"/>
  <c r="C321" i="22"/>
  <c r="D322" i="22"/>
  <c r="B325" i="22"/>
  <c r="C326" i="22"/>
  <c r="D327" i="22"/>
  <c r="B330" i="22"/>
  <c r="C331" i="22"/>
  <c r="D333" i="22"/>
  <c r="B335" i="22"/>
  <c r="C337" i="22"/>
  <c r="D338" i="22"/>
  <c r="B341" i="22"/>
  <c r="C342" i="22"/>
  <c r="D343" i="22"/>
  <c r="B346" i="22"/>
  <c r="C347" i="22"/>
  <c r="J125" i="22"/>
  <c r="J123" i="22"/>
  <c r="K36" i="22"/>
  <c r="L36" i="22" s="1"/>
  <c r="J19" i="22"/>
  <c r="BP66" i="22"/>
  <c r="J14" i="22"/>
  <c r="J16" i="22"/>
  <c r="J20" i="22"/>
  <c r="J102" i="22"/>
  <c r="J124" i="22"/>
  <c r="J68" i="22"/>
  <c r="J80" i="22"/>
  <c r="I108" i="22" s="1"/>
  <c r="J119" i="22"/>
  <c r="J71" i="22"/>
  <c r="J75" i="22"/>
  <c r="G56" i="22"/>
  <c r="J67" i="22"/>
  <c r="J74" i="22"/>
  <c r="F108" i="22"/>
  <c r="J122" i="22"/>
  <c r="J127" i="22"/>
  <c r="G52" i="22"/>
  <c r="BQ66" i="22"/>
  <c r="K28" i="22"/>
  <c r="K56" i="22" s="1"/>
  <c r="BP121" i="22"/>
  <c r="J22" i="22"/>
  <c r="K51" i="22"/>
  <c r="L55" i="22"/>
  <c r="J73" i="22"/>
  <c r="F100" i="22"/>
  <c r="I106" i="22"/>
  <c r="J110" i="22"/>
  <c r="J120" i="22"/>
  <c r="J126" i="22"/>
  <c r="K108" i="22"/>
  <c r="K100" i="22"/>
  <c r="BR16" i="22"/>
  <c r="BP17" i="22"/>
  <c r="BP18" i="22"/>
  <c r="K35" i="22"/>
  <c r="L35" i="22" s="1"/>
  <c r="K47" i="22"/>
  <c r="K50" i="22"/>
  <c r="L51" i="22"/>
  <c r="J66" i="22"/>
  <c r="J79" i="22"/>
  <c r="H80" i="22"/>
  <c r="H104" i="22" s="1"/>
  <c r="H87" i="22"/>
  <c r="G100" i="22"/>
  <c r="K102" i="22"/>
  <c r="K106" i="22"/>
  <c r="G108" i="22"/>
  <c r="K110" i="22"/>
  <c r="BQ120" i="22"/>
  <c r="BQ122" i="22"/>
  <c r="J17" i="22"/>
  <c r="BQ19" i="22"/>
  <c r="L47" i="22"/>
  <c r="K58" i="22"/>
  <c r="J88" i="22"/>
  <c r="I88" i="22" s="1"/>
  <c r="G104" i="22"/>
  <c r="J121" i="22"/>
  <c r="BR125" i="22"/>
  <c r="H140" i="22"/>
  <c r="H141" i="22"/>
  <c r="L151" i="22"/>
  <c r="L155" i="22"/>
  <c r="L159" i="22"/>
  <c r="K48" i="22"/>
  <c r="K54" i="22"/>
  <c r="J18" i="22"/>
  <c r="J23" i="22"/>
  <c r="J70" i="22"/>
  <c r="J72" i="22"/>
  <c r="J81" i="22"/>
  <c r="I81" i="22" s="1"/>
  <c r="E99" i="22"/>
  <c r="E103" i="22"/>
  <c r="E107" i="22"/>
  <c r="J15" i="22"/>
  <c r="BP15" i="22"/>
  <c r="BR19" i="22"/>
  <c r="BR20" i="22"/>
  <c r="BP21" i="22"/>
  <c r="BP22" i="22"/>
  <c r="BQ23" i="22"/>
  <c r="G48" i="22"/>
  <c r="BR67" i="22"/>
  <c r="BP68" i="22"/>
  <c r="BP69" i="22"/>
  <c r="BQ70" i="22"/>
  <c r="BP71" i="22"/>
  <c r="BR72" i="22"/>
  <c r="BQ73" i="22"/>
  <c r="BP74" i="22"/>
  <c r="BP75" i="22"/>
  <c r="K88" i="22"/>
  <c r="L88" i="22" s="1"/>
  <c r="F99" i="22"/>
  <c r="F103" i="22"/>
  <c r="F105" i="22"/>
  <c r="BP118" i="22"/>
  <c r="BR118" i="22"/>
  <c r="BP125" i="22"/>
  <c r="BQ126" i="22"/>
  <c r="H153" i="22"/>
  <c r="H157" i="22"/>
  <c r="H161" i="22"/>
  <c r="BQ15" i="22"/>
  <c r="L383" i="22"/>
  <c r="BP70" i="22"/>
  <c r="L107" i="22"/>
  <c r="L103" i="22"/>
  <c r="L99" i="22"/>
  <c r="K107" i="22"/>
  <c r="K99" i="22"/>
  <c r="K103" i="22"/>
  <c r="BO14" i="22"/>
  <c r="BR15" i="22"/>
  <c r="BO17" i="22"/>
  <c r="C383" i="22"/>
  <c r="BO18" i="22"/>
  <c r="BQ18" i="22"/>
  <c r="BO21" i="22"/>
  <c r="C387" i="22"/>
  <c r="BO22" i="22"/>
  <c r="G387" i="22"/>
  <c r="BQ22" i="22"/>
  <c r="F56" i="22"/>
  <c r="F52" i="22"/>
  <c r="F48" i="22"/>
  <c r="J28" i="22"/>
  <c r="E56" i="22"/>
  <c r="E52" i="22"/>
  <c r="E48" i="22"/>
  <c r="K29" i="22"/>
  <c r="H57" i="22"/>
  <c r="H53" i="22"/>
  <c r="H49" i="22"/>
  <c r="G49" i="22"/>
  <c r="BO74" i="22"/>
  <c r="L379" i="22"/>
  <c r="P383" i="22"/>
  <c r="BR70" i="22"/>
  <c r="BP14" i="22"/>
  <c r="G382" i="22"/>
  <c r="BQ17" i="22"/>
  <c r="H383" i="22"/>
  <c r="BR18" i="22"/>
  <c r="D384" i="22"/>
  <c r="BP19" i="22"/>
  <c r="J21" i="22"/>
  <c r="G386" i="22"/>
  <c r="BQ21" i="22"/>
  <c r="H387" i="22"/>
  <c r="BR22" i="22"/>
  <c r="J58" i="22"/>
  <c r="J54" i="22"/>
  <c r="J50" i="22"/>
  <c r="I58" i="22"/>
  <c r="I54" i="22"/>
  <c r="I50" i="22"/>
  <c r="K37" i="22"/>
  <c r="L37" i="22" s="1"/>
  <c r="G53" i="22"/>
  <c r="J69" i="22"/>
  <c r="K382" i="22"/>
  <c r="BO69" i="22"/>
  <c r="O382" i="22"/>
  <c r="BQ69" i="22"/>
  <c r="U380" i="22"/>
  <c r="BP119" i="22"/>
  <c r="Y380" i="22"/>
  <c r="BR119" i="22"/>
  <c r="D380" i="22"/>
  <c r="C380" i="22"/>
  <c r="BO15" i="22"/>
  <c r="H379" i="22"/>
  <c r="BR14" i="22"/>
  <c r="BQ14" i="22"/>
  <c r="F381" i="22"/>
  <c r="BQ16" i="22"/>
  <c r="BO16" i="22"/>
  <c r="F385" i="22"/>
  <c r="BQ20" i="22"/>
  <c r="BO20" i="22"/>
  <c r="D388" i="22"/>
  <c r="BP23" i="22"/>
  <c r="H388" i="22"/>
  <c r="BR23" i="22"/>
  <c r="G57" i="22"/>
  <c r="P379" i="22"/>
  <c r="BR66" i="22"/>
  <c r="BO68" i="22"/>
  <c r="BO71" i="22"/>
  <c r="L385" i="22"/>
  <c r="BP72" i="22"/>
  <c r="BO75" i="22"/>
  <c r="H109" i="22"/>
  <c r="H105" i="22"/>
  <c r="H101" i="22"/>
  <c r="G109" i="22"/>
  <c r="G101" i="22"/>
  <c r="K81" i="22"/>
  <c r="G105" i="22"/>
  <c r="H89" i="22"/>
  <c r="K89" i="22"/>
  <c r="L89" i="22" s="1"/>
  <c r="S382" i="22"/>
  <c r="BO121" i="22"/>
  <c r="W382" i="22"/>
  <c r="BQ121" i="22"/>
  <c r="S386" i="22"/>
  <c r="BO125" i="22"/>
  <c r="W386" i="22"/>
  <c r="BQ125" i="22"/>
  <c r="K162" i="22"/>
  <c r="K158" i="22"/>
  <c r="K154" i="22"/>
  <c r="L162" i="22"/>
  <c r="L158" i="22"/>
  <c r="L154" i="22"/>
  <c r="K139" i="22"/>
  <c r="L139" i="22" s="1"/>
  <c r="H139" i="22"/>
  <c r="H48" i="22"/>
  <c r="L50" i="22"/>
  <c r="H52" i="22"/>
  <c r="L54" i="22"/>
  <c r="H56" i="22"/>
  <c r="BO67" i="22"/>
  <c r="L386" i="22"/>
  <c r="BP73" i="22"/>
  <c r="BR73" i="22"/>
  <c r="O387" i="22"/>
  <c r="BQ74" i="22"/>
  <c r="L80" i="22"/>
  <c r="L108" i="22" s="1"/>
  <c r="E104" i="22"/>
  <c r="BO118" i="22"/>
  <c r="T381" i="22"/>
  <c r="BP120" i="22"/>
  <c r="X381" i="22"/>
  <c r="BR120" i="22"/>
  <c r="BP16" i="22"/>
  <c r="BO19" i="22"/>
  <c r="BP20" i="22"/>
  <c r="BO23" i="22"/>
  <c r="J27" i="22"/>
  <c r="E29" i="22"/>
  <c r="J29" i="22"/>
  <c r="E36" i="22"/>
  <c r="E37" i="22"/>
  <c r="E47" i="22"/>
  <c r="E51" i="22"/>
  <c r="E55" i="22"/>
  <c r="BO66" i="22"/>
  <c r="BP67" i="22"/>
  <c r="BQ68" i="22"/>
  <c r="BR69" i="22"/>
  <c r="BO70" i="22"/>
  <c r="P384" i="22"/>
  <c r="BR71" i="22"/>
  <c r="BQ71" i="22"/>
  <c r="BR74" i="22"/>
  <c r="P388" i="22"/>
  <c r="BR75" i="22"/>
  <c r="BQ75" i="22"/>
  <c r="E81" i="22"/>
  <c r="E89" i="22"/>
  <c r="F101" i="22"/>
  <c r="F104" i="22"/>
  <c r="K104" i="22"/>
  <c r="J106" i="22"/>
  <c r="J118" i="22"/>
  <c r="BQ118" i="22"/>
  <c r="S380" i="22"/>
  <c r="BO119" i="22"/>
  <c r="W380" i="22"/>
  <c r="BQ119" i="22"/>
  <c r="BR121" i="22"/>
  <c r="Y382" i="22"/>
  <c r="T383" i="22"/>
  <c r="BP122" i="22"/>
  <c r="X383" i="22"/>
  <c r="BR122" i="22"/>
  <c r="BR123" i="22"/>
  <c r="V385" i="22"/>
  <c r="BQ124" i="22"/>
  <c r="BO124" i="22"/>
  <c r="T387" i="22"/>
  <c r="BP126" i="22"/>
  <c r="X387" i="22"/>
  <c r="BR126" i="22"/>
  <c r="BR127" i="22"/>
  <c r="G160" i="22"/>
  <c r="G156" i="22"/>
  <c r="G152" i="22"/>
  <c r="K132" i="22"/>
  <c r="H132" i="22"/>
  <c r="C169" i="22"/>
  <c r="C168" i="22"/>
  <c r="C167" i="22"/>
  <c r="T379" i="22"/>
  <c r="BR17" i="22"/>
  <c r="BR21" i="22"/>
  <c r="F47" i="22"/>
  <c r="F49" i="22"/>
  <c r="F51" i="22"/>
  <c r="F53" i="22"/>
  <c r="BQ67" i="22"/>
  <c r="BR68" i="22"/>
  <c r="K385" i="22"/>
  <c r="BO72" i="22"/>
  <c r="BQ72" i="22"/>
  <c r="BO73" i="22"/>
  <c r="E100" i="22"/>
  <c r="I102" i="22"/>
  <c r="BO120" i="22"/>
  <c r="F159" i="22"/>
  <c r="F155" i="22"/>
  <c r="F151" i="22"/>
  <c r="E159" i="22"/>
  <c r="E155" i="22"/>
  <c r="E151" i="22"/>
  <c r="J131" i="22"/>
  <c r="X379" i="22"/>
  <c r="L102" i="22"/>
  <c r="L106" i="22"/>
  <c r="BO123" i="22"/>
  <c r="BP124" i="22"/>
  <c r="BO127" i="22"/>
  <c r="E133" i="22"/>
  <c r="J133" i="22"/>
  <c r="E140" i="22"/>
  <c r="E141" i="22"/>
  <c r="E152" i="22"/>
  <c r="I154" i="22"/>
  <c r="E156" i="22"/>
  <c r="I158" i="22"/>
  <c r="E160" i="22"/>
  <c r="I162" i="22"/>
  <c r="Y386" i="22"/>
  <c r="BO122" i="22"/>
  <c r="BP123" i="22"/>
  <c r="BO126" i="22"/>
  <c r="BP127" i="22"/>
  <c r="J132" i="22"/>
  <c r="K133" i="22"/>
  <c r="F152" i="22"/>
  <c r="F153" i="22"/>
  <c r="J154" i="22"/>
  <c r="F156" i="22"/>
  <c r="F157" i="22"/>
  <c r="J158" i="22"/>
  <c r="BQ123" i="22"/>
  <c r="BR124" i="22"/>
  <c r="BQ127" i="22"/>
  <c r="K151" i="22"/>
  <c r="G153" i="22"/>
  <c r="K155" i="22"/>
  <c r="G157" i="22"/>
  <c r="J17" i="21"/>
  <c r="B103" i="21" s="1"/>
  <c r="J21" i="21"/>
  <c r="B280" i="21" s="1"/>
  <c r="J45" i="21"/>
  <c r="C274" i="21" s="1"/>
  <c r="J49" i="21"/>
  <c r="C278" i="21" s="1"/>
  <c r="J53" i="21"/>
  <c r="C282" i="21" s="1"/>
  <c r="J77" i="21"/>
  <c r="D276" i="21" s="1"/>
  <c r="J81" i="21"/>
  <c r="D280" i="21" s="1"/>
  <c r="J83" i="21"/>
  <c r="D109" i="21" s="1"/>
  <c r="J16" i="21"/>
  <c r="B275" i="21" s="1"/>
  <c r="J20" i="21"/>
  <c r="B106" i="21" s="1"/>
  <c r="J44" i="21"/>
  <c r="C100" i="21" s="1"/>
  <c r="J48" i="21"/>
  <c r="C277" i="21" s="1"/>
  <c r="J52" i="21"/>
  <c r="C108" i="21" s="1"/>
  <c r="J76" i="21"/>
  <c r="D102" i="21" s="1"/>
  <c r="J80" i="21"/>
  <c r="D106" i="21" s="1"/>
  <c r="J15" i="21"/>
  <c r="B101" i="21" s="1"/>
  <c r="J19" i="21"/>
  <c r="B278" i="21" s="1"/>
  <c r="J23" i="21"/>
  <c r="B109" i="21" s="1"/>
  <c r="J47" i="21"/>
  <c r="C103" i="21" s="1"/>
  <c r="J51" i="21"/>
  <c r="C280" i="21" s="1"/>
  <c r="J75" i="21"/>
  <c r="D274" i="21" s="1"/>
  <c r="J79" i="21"/>
  <c r="D105" i="21" s="1"/>
  <c r="J14" i="21"/>
  <c r="B273" i="21" s="1"/>
  <c r="J18" i="21"/>
  <c r="B277" i="21" s="1"/>
  <c r="J22" i="21"/>
  <c r="B108" i="21" s="1"/>
  <c r="J46" i="21"/>
  <c r="C275" i="21" s="1"/>
  <c r="J50" i="21"/>
  <c r="C106" i="21" s="1"/>
  <c r="J74" i="21"/>
  <c r="D273" i="21" s="1"/>
  <c r="J78" i="21"/>
  <c r="D104" i="21" s="1"/>
  <c r="J82" i="21"/>
  <c r="D108" i="21" s="1"/>
  <c r="C114" i="21"/>
  <c r="C113" i="21"/>
  <c r="J16" i="19"/>
  <c r="J44" i="19"/>
  <c r="J48" i="19"/>
  <c r="J52" i="19"/>
  <c r="J76" i="19"/>
  <c r="J80" i="19"/>
  <c r="J20" i="19"/>
  <c r="J15" i="19"/>
  <c r="J19" i="19"/>
  <c r="J23" i="19"/>
  <c r="J47" i="19"/>
  <c r="J51" i="19"/>
  <c r="J75" i="19"/>
  <c r="J79" i="19"/>
  <c r="J83" i="19"/>
  <c r="J14" i="19"/>
  <c r="J18" i="19"/>
  <c r="J22" i="19"/>
  <c r="J46" i="19"/>
  <c r="J50" i="19"/>
  <c r="J74" i="19"/>
  <c r="J78" i="19"/>
  <c r="J82" i="19"/>
  <c r="J17" i="19"/>
  <c r="J21" i="19"/>
  <c r="J45" i="19"/>
  <c r="J49" i="19"/>
  <c r="J53" i="19"/>
  <c r="J77" i="19"/>
  <c r="J81" i="19"/>
  <c r="C129" i="19"/>
  <c r="C127" i="19"/>
  <c r="D104" i="14"/>
  <c r="E103" i="14" s="1"/>
  <c r="B104" i="14"/>
  <c r="C102" i="14" s="1"/>
  <c r="D96" i="14"/>
  <c r="D95" i="14"/>
  <c r="D94" i="14"/>
  <c r="I83" i="14"/>
  <c r="H83" i="14"/>
  <c r="G83" i="14"/>
  <c r="I82" i="14"/>
  <c r="H82" i="14"/>
  <c r="G8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53" i="14"/>
  <c r="H53" i="14"/>
  <c r="G53" i="14"/>
  <c r="I52" i="14"/>
  <c r="H52" i="14"/>
  <c r="G5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B176" i="12"/>
  <c r="B168" i="12"/>
  <c r="H161" i="12"/>
  <c r="G161" i="12"/>
  <c r="F161" i="12"/>
  <c r="E161" i="12"/>
  <c r="H158" i="12"/>
  <c r="G158" i="12"/>
  <c r="H157" i="12"/>
  <c r="G157" i="12"/>
  <c r="F157" i="12"/>
  <c r="E157" i="12"/>
  <c r="H154" i="12"/>
  <c r="G154" i="12"/>
  <c r="H153" i="12"/>
  <c r="G153" i="12"/>
  <c r="F153" i="12"/>
  <c r="E153" i="12"/>
  <c r="H150" i="12"/>
  <c r="G150" i="12"/>
  <c r="G140" i="12"/>
  <c r="H140" i="12" s="1"/>
  <c r="F140" i="12"/>
  <c r="J140" i="12" s="1"/>
  <c r="I140" i="12" s="1"/>
  <c r="E140" i="12"/>
  <c r="G139" i="12"/>
  <c r="F139" i="12"/>
  <c r="J139" i="12" s="1"/>
  <c r="I139" i="12" s="1"/>
  <c r="E139" i="12"/>
  <c r="G138" i="12"/>
  <c r="F138" i="12"/>
  <c r="J138" i="12" s="1"/>
  <c r="K137" i="12"/>
  <c r="J137" i="12"/>
  <c r="K133" i="12"/>
  <c r="K153" i="12" s="1"/>
  <c r="J133" i="12"/>
  <c r="G132" i="12"/>
  <c r="F132" i="12"/>
  <c r="E132" i="12" s="1"/>
  <c r="G131" i="12"/>
  <c r="F131" i="12"/>
  <c r="K130" i="12"/>
  <c r="F130" i="12"/>
  <c r="BN126" i="12"/>
  <c r="Y190" i="12" s="1"/>
  <c r="BM126" i="12"/>
  <c r="X190" i="12" s="1"/>
  <c r="BL126" i="12"/>
  <c r="W190" i="12" s="1"/>
  <c r="BK126" i="12"/>
  <c r="BQ126" i="12" s="1"/>
  <c r="BJ126" i="12"/>
  <c r="U190" i="12" s="1"/>
  <c r="BI126" i="12"/>
  <c r="BH126" i="12"/>
  <c r="S190" i="12" s="1"/>
  <c r="BG126" i="12"/>
  <c r="R190" i="12" s="1"/>
  <c r="I126" i="12"/>
  <c r="H126" i="12"/>
  <c r="G126" i="12"/>
  <c r="J126" i="12" s="1"/>
  <c r="BN125" i="12"/>
  <c r="Y189" i="12" s="1"/>
  <c r="BM125" i="12"/>
  <c r="X189" i="12" s="1"/>
  <c r="BL125" i="12"/>
  <c r="W189" i="12" s="1"/>
  <c r="BK125" i="12"/>
  <c r="V189" i="12" s="1"/>
  <c r="BJ125" i="12"/>
  <c r="U189" i="12" s="1"/>
  <c r="BI125" i="12"/>
  <c r="T189" i="12" s="1"/>
  <c r="BH125" i="12"/>
  <c r="BG125" i="12"/>
  <c r="R189" i="12" s="1"/>
  <c r="I125" i="12"/>
  <c r="H125" i="12"/>
  <c r="G125" i="12"/>
  <c r="BN124" i="12"/>
  <c r="Y188" i="12" s="1"/>
  <c r="BM124" i="12"/>
  <c r="BL124" i="12"/>
  <c r="BK124" i="12"/>
  <c r="V188" i="12" s="1"/>
  <c r="BJ124" i="12"/>
  <c r="U188" i="12" s="1"/>
  <c r="BI124" i="12"/>
  <c r="BH124" i="12"/>
  <c r="BG124" i="12"/>
  <c r="R188" i="12" s="1"/>
  <c r="I124" i="12"/>
  <c r="H124" i="12"/>
  <c r="G124" i="12"/>
  <c r="BN123" i="12"/>
  <c r="Y187" i="12" s="1"/>
  <c r="BM123" i="12"/>
  <c r="X187" i="12" s="1"/>
  <c r="BL123" i="12"/>
  <c r="BK123" i="12"/>
  <c r="V187" i="12" s="1"/>
  <c r="BJ123" i="12"/>
  <c r="BI123" i="12"/>
  <c r="T187" i="12" s="1"/>
  <c r="BH123" i="12"/>
  <c r="BG123" i="12"/>
  <c r="R187" i="12" s="1"/>
  <c r="I123" i="12"/>
  <c r="H123" i="12"/>
  <c r="G123" i="12"/>
  <c r="J123" i="12" s="1"/>
  <c r="BN122" i="12"/>
  <c r="Y186" i="12" s="1"/>
  <c r="BM122" i="12"/>
  <c r="BR122" i="12" s="1"/>
  <c r="BL122" i="12"/>
  <c r="W186" i="12" s="1"/>
  <c r="BK122" i="12"/>
  <c r="BJ122" i="12"/>
  <c r="U186" i="12" s="1"/>
  <c r="BI122" i="12"/>
  <c r="BH122" i="12"/>
  <c r="S186" i="12" s="1"/>
  <c r="BG122" i="12"/>
  <c r="R186" i="12" s="1"/>
  <c r="I122" i="12"/>
  <c r="H122" i="12"/>
  <c r="G122" i="12"/>
  <c r="J122" i="12" s="1"/>
  <c r="BN121" i="12"/>
  <c r="Y185" i="12" s="1"/>
  <c r="BM121" i="12"/>
  <c r="BR121" i="12" s="1"/>
  <c r="BL121" i="12"/>
  <c r="W185" i="12" s="1"/>
  <c r="BK121" i="12"/>
  <c r="V185" i="12" s="1"/>
  <c r="BJ121" i="12"/>
  <c r="U185" i="12" s="1"/>
  <c r="BI121" i="12"/>
  <c r="BH121" i="12"/>
  <c r="BO121" i="12" s="1"/>
  <c r="BG121" i="12"/>
  <c r="R185" i="12" s="1"/>
  <c r="I121" i="12"/>
  <c r="H121" i="12"/>
  <c r="G121" i="12"/>
  <c r="BN120" i="12"/>
  <c r="Y184" i="12" s="1"/>
  <c r="BM120" i="12"/>
  <c r="BL120" i="12"/>
  <c r="BQ120" i="12" s="1"/>
  <c r="BK120" i="12"/>
  <c r="V184" i="12" s="1"/>
  <c r="BJ120" i="12"/>
  <c r="U184" i="12" s="1"/>
  <c r="BI120" i="12"/>
  <c r="BH120" i="12"/>
  <c r="S184" i="12" s="1"/>
  <c r="BG120" i="12"/>
  <c r="R184" i="12" s="1"/>
  <c r="I120" i="12"/>
  <c r="H120" i="12"/>
  <c r="G120" i="12"/>
  <c r="BN119" i="12"/>
  <c r="Y183" i="12" s="1"/>
  <c r="BM119" i="12"/>
  <c r="X183" i="12" s="1"/>
  <c r="BL119" i="12"/>
  <c r="BQ119" i="12" s="1"/>
  <c r="BK119" i="12"/>
  <c r="V183" i="12" s="1"/>
  <c r="BJ119" i="12"/>
  <c r="BI119" i="12"/>
  <c r="T183" i="12" s="1"/>
  <c r="BH119" i="12"/>
  <c r="BG119" i="12"/>
  <c r="R183" i="12" s="1"/>
  <c r="I119" i="12"/>
  <c r="H119" i="12"/>
  <c r="G119" i="12"/>
  <c r="J119" i="12" s="1"/>
  <c r="BN118" i="12"/>
  <c r="Y182" i="12" s="1"/>
  <c r="BM118" i="12"/>
  <c r="BR118" i="12" s="1"/>
  <c r="BL118" i="12"/>
  <c r="W182" i="12" s="1"/>
  <c r="BK118" i="12"/>
  <c r="BJ118" i="12"/>
  <c r="U182" i="12" s="1"/>
  <c r="BI118" i="12"/>
  <c r="BH118" i="12"/>
  <c r="S182" i="12" s="1"/>
  <c r="BG118" i="12"/>
  <c r="R182" i="12" s="1"/>
  <c r="I118" i="12"/>
  <c r="H118" i="12"/>
  <c r="G118" i="12"/>
  <c r="J118" i="12" s="1"/>
  <c r="BN117" i="12"/>
  <c r="Y181" i="12" s="1"/>
  <c r="BM117" i="12"/>
  <c r="BL117" i="12"/>
  <c r="W181" i="12" s="1"/>
  <c r="BK117" i="12"/>
  <c r="V181" i="12" s="1"/>
  <c r="BJ117" i="12"/>
  <c r="U181" i="12" s="1"/>
  <c r="BI117" i="12"/>
  <c r="BH117" i="12"/>
  <c r="BG117" i="12"/>
  <c r="R181" i="12" s="1"/>
  <c r="I117" i="12"/>
  <c r="H117" i="12"/>
  <c r="G117" i="12"/>
  <c r="H109" i="12"/>
  <c r="G109" i="12"/>
  <c r="F109" i="12"/>
  <c r="E109" i="12"/>
  <c r="H106" i="12"/>
  <c r="G106" i="12"/>
  <c r="H105" i="12"/>
  <c r="G105" i="12"/>
  <c r="F105" i="12"/>
  <c r="E105" i="12"/>
  <c r="H102" i="12"/>
  <c r="G102" i="12"/>
  <c r="H101" i="12"/>
  <c r="G101" i="12"/>
  <c r="F101" i="12"/>
  <c r="E101" i="12"/>
  <c r="H98" i="12"/>
  <c r="G98" i="12"/>
  <c r="G88" i="12"/>
  <c r="F88" i="12"/>
  <c r="E88" i="12" s="1"/>
  <c r="G87" i="12"/>
  <c r="F87" i="12"/>
  <c r="G86" i="12"/>
  <c r="F86" i="12"/>
  <c r="J86" i="12" s="1"/>
  <c r="K85" i="12"/>
  <c r="J85" i="12"/>
  <c r="K81" i="12"/>
  <c r="J81" i="12"/>
  <c r="J105" i="12" s="1"/>
  <c r="G80" i="12"/>
  <c r="G108" i="12" s="1"/>
  <c r="F80" i="12"/>
  <c r="F100" i="12" s="1"/>
  <c r="G79" i="12"/>
  <c r="F79" i="12"/>
  <c r="K78" i="12"/>
  <c r="F78" i="12"/>
  <c r="F98" i="12" s="1"/>
  <c r="BN74" i="12"/>
  <c r="Q190" i="12" s="1"/>
  <c r="BM74" i="12"/>
  <c r="P190" i="12" s="1"/>
  <c r="BL74" i="12"/>
  <c r="O190" i="12" s="1"/>
  <c r="BK74" i="12"/>
  <c r="N190" i="12" s="1"/>
  <c r="BJ74" i="12"/>
  <c r="M190" i="12" s="1"/>
  <c r="BI74" i="12"/>
  <c r="L190" i="12" s="1"/>
  <c r="BH74" i="12"/>
  <c r="BG74" i="12"/>
  <c r="J190" i="12" s="1"/>
  <c r="I74" i="12"/>
  <c r="H74" i="12"/>
  <c r="G74" i="12"/>
  <c r="BN73" i="12"/>
  <c r="Q189" i="12" s="1"/>
  <c r="BM73" i="12"/>
  <c r="BL73" i="12"/>
  <c r="O189" i="12" s="1"/>
  <c r="BK73" i="12"/>
  <c r="N189" i="12" s="1"/>
  <c r="BJ73" i="12"/>
  <c r="M189" i="12" s="1"/>
  <c r="BI73" i="12"/>
  <c r="BH73" i="12"/>
  <c r="K189" i="12" s="1"/>
  <c r="BG73" i="12"/>
  <c r="I73" i="12"/>
  <c r="H73" i="12"/>
  <c r="G73" i="12"/>
  <c r="BN72" i="12"/>
  <c r="Q188" i="12" s="1"/>
  <c r="BM72" i="12"/>
  <c r="P188" i="12" s="1"/>
  <c r="BL72" i="12"/>
  <c r="BK72" i="12"/>
  <c r="N188" i="12" s="1"/>
  <c r="BJ72" i="12"/>
  <c r="BI72" i="12"/>
  <c r="L188" i="12" s="1"/>
  <c r="BH72" i="12"/>
  <c r="BG72" i="12"/>
  <c r="J188" i="12" s="1"/>
  <c r="I72" i="12"/>
  <c r="H72" i="12"/>
  <c r="G72" i="12"/>
  <c r="J72" i="12" s="1"/>
  <c r="BN71" i="12"/>
  <c r="Q187" i="12" s="1"/>
  <c r="BM71" i="12"/>
  <c r="BL71" i="12"/>
  <c r="O187" i="12" s="1"/>
  <c r="BK71" i="12"/>
  <c r="BJ71" i="12"/>
  <c r="M187" i="12" s="1"/>
  <c r="BI71" i="12"/>
  <c r="BH71" i="12"/>
  <c r="K187" i="12" s="1"/>
  <c r="BG71" i="12"/>
  <c r="J187" i="12" s="1"/>
  <c r="I71" i="12"/>
  <c r="H71" i="12"/>
  <c r="G71" i="12"/>
  <c r="J71" i="12" s="1"/>
  <c r="BN70" i="12"/>
  <c r="Q186" i="12" s="1"/>
  <c r="BM70" i="12"/>
  <c r="P186" i="12" s="1"/>
  <c r="BL70" i="12"/>
  <c r="O186" i="12" s="1"/>
  <c r="BK70" i="12"/>
  <c r="N186" i="12" s="1"/>
  <c r="BJ70" i="12"/>
  <c r="M186" i="12" s="1"/>
  <c r="BI70" i="12"/>
  <c r="L186" i="12" s="1"/>
  <c r="BH70" i="12"/>
  <c r="BG70" i="12"/>
  <c r="J186" i="12" s="1"/>
  <c r="I70" i="12"/>
  <c r="H70" i="12"/>
  <c r="G70" i="12"/>
  <c r="BN69" i="12"/>
  <c r="Q185" i="12" s="1"/>
  <c r="BM69" i="12"/>
  <c r="BL69" i="12"/>
  <c r="O185" i="12" s="1"/>
  <c r="BK69" i="12"/>
  <c r="N185" i="12" s="1"/>
  <c r="BJ69" i="12"/>
  <c r="M185" i="12" s="1"/>
  <c r="BI69" i="12"/>
  <c r="BH69" i="12"/>
  <c r="K185" i="12" s="1"/>
  <c r="BG69" i="12"/>
  <c r="J185" i="12" s="1"/>
  <c r="I69" i="12"/>
  <c r="H69" i="12"/>
  <c r="G69" i="12"/>
  <c r="J69" i="12" s="1"/>
  <c r="BN68" i="12"/>
  <c r="Q184" i="12" s="1"/>
  <c r="BM68" i="12"/>
  <c r="BL68" i="12"/>
  <c r="BK68" i="12"/>
  <c r="N184" i="12" s="1"/>
  <c r="BJ68" i="12"/>
  <c r="M184" i="12" s="1"/>
  <c r="BI68" i="12"/>
  <c r="BH68" i="12"/>
  <c r="BG68" i="12"/>
  <c r="J184" i="12" s="1"/>
  <c r="I68" i="12"/>
  <c r="H68" i="12"/>
  <c r="G68" i="12"/>
  <c r="BN67" i="12"/>
  <c r="Q183" i="12" s="1"/>
  <c r="BM67" i="12"/>
  <c r="P183" i="12" s="1"/>
  <c r="BL67" i="12"/>
  <c r="O183" i="12" s="1"/>
  <c r="BK67" i="12"/>
  <c r="N183" i="12" s="1"/>
  <c r="BJ67" i="12"/>
  <c r="M183" i="12" s="1"/>
  <c r="BI67" i="12"/>
  <c r="BH67" i="12"/>
  <c r="K183" i="12" s="1"/>
  <c r="BG67" i="12"/>
  <c r="J183" i="12" s="1"/>
  <c r="I67" i="12"/>
  <c r="H67" i="12"/>
  <c r="G67" i="12"/>
  <c r="BN66" i="12"/>
  <c r="Q182" i="12" s="1"/>
  <c r="BM66" i="12"/>
  <c r="BR66" i="12" s="1"/>
  <c r="BL66" i="12"/>
  <c r="O182" i="12" s="1"/>
  <c r="BK66" i="12"/>
  <c r="N182" i="12" s="1"/>
  <c r="BJ66" i="12"/>
  <c r="M182" i="12" s="1"/>
  <c r="BI66" i="12"/>
  <c r="L182" i="12" s="1"/>
  <c r="BH66" i="12"/>
  <c r="BG66" i="12"/>
  <c r="J182" i="12" s="1"/>
  <c r="I66" i="12"/>
  <c r="H66" i="12"/>
  <c r="G66" i="12"/>
  <c r="J66" i="12" s="1"/>
  <c r="BN65" i="12"/>
  <c r="Q181" i="12" s="1"/>
  <c r="BM65" i="12"/>
  <c r="BL65" i="12"/>
  <c r="BK65" i="12"/>
  <c r="N181" i="12" s="1"/>
  <c r="BJ65" i="12"/>
  <c r="M181" i="12" s="1"/>
  <c r="BI65" i="12"/>
  <c r="BH65" i="12"/>
  <c r="K181" i="12" s="1"/>
  <c r="BG65" i="12"/>
  <c r="J181" i="12" s="1"/>
  <c r="I65" i="12"/>
  <c r="H65" i="12"/>
  <c r="G65" i="12"/>
  <c r="J65" i="12" s="1"/>
  <c r="H57" i="12"/>
  <c r="G57" i="12"/>
  <c r="F57" i="12"/>
  <c r="E57" i="12"/>
  <c r="H54" i="12"/>
  <c r="G54" i="12"/>
  <c r="H53" i="12"/>
  <c r="G53" i="12"/>
  <c r="F53" i="12"/>
  <c r="E53" i="12"/>
  <c r="H50" i="12"/>
  <c r="G50" i="12"/>
  <c r="H49" i="12"/>
  <c r="G49" i="12"/>
  <c r="F49" i="12"/>
  <c r="E49" i="12"/>
  <c r="H46" i="12"/>
  <c r="G46" i="12"/>
  <c r="G36" i="12"/>
  <c r="F36" i="12"/>
  <c r="J36" i="12" s="1"/>
  <c r="I36" i="12" s="1"/>
  <c r="E36" i="12"/>
  <c r="G35" i="12"/>
  <c r="H35" i="12" s="1"/>
  <c r="F35" i="12"/>
  <c r="J35" i="12" s="1"/>
  <c r="I35" i="12" s="1"/>
  <c r="E35" i="12"/>
  <c r="G34" i="12"/>
  <c r="F34" i="12"/>
  <c r="J34" i="12" s="1"/>
  <c r="K33" i="12"/>
  <c r="J33" i="12"/>
  <c r="K29" i="12"/>
  <c r="J29" i="12"/>
  <c r="G28" i="12"/>
  <c r="F28" i="12"/>
  <c r="E28" i="12"/>
  <c r="E56" i="12" s="1"/>
  <c r="G27" i="12"/>
  <c r="F27" i="12"/>
  <c r="K26" i="12"/>
  <c r="F26" i="12"/>
  <c r="BN22" i="12"/>
  <c r="I190" i="12" s="1"/>
  <c r="BM22" i="12"/>
  <c r="BL22" i="12"/>
  <c r="G190" i="12" s="1"/>
  <c r="BK22" i="12"/>
  <c r="F190" i="12" s="1"/>
  <c r="BJ22" i="12"/>
  <c r="E190" i="12" s="1"/>
  <c r="BI22" i="12"/>
  <c r="D190" i="12" s="1"/>
  <c r="BH22" i="12"/>
  <c r="C190" i="12" s="1"/>
  <c r="BG22" i="12"/>
  <c r="B190" i="12" s="1"/>
  <c r="I22" i="12"/>
  <c r="H22" i="12"/>
  <c r="G22" i="12"/>
  <c r="BN21" i="12"/>
  <c r="I189" i="12" s="1"/>
  <c r="BM21" i="12"/>
  <c r="BL21" i="12"/>
  <c r="BK21" i="12"/>
  <c r="F189" i="12" s="1"/>
  <c r="BJ21" i="12"/>
  <c r="E189" i="12" s="1"/>
  <c r="BI21" i="12"/>
  <c r="D189" i="12" s="1"/>
  <c r="BH21" i="12"/>
  <c r="C189" i="12" s="1"/>
  <c r="BG21" i="12"/>
  <c r="B189" i="12" s="1"/>
  <c r="I21" i="12"/>
  <c r="H21" i="12"/>
  <c r="G21" i="12"/>
  <c r="J21" i="12" s="1"/>
  <c r="BN20" i="12"/>
  <c r="I188" i="12" s="1"/>
  <c r="BM20" i="12"/>
  <c r="H188" i="12" s="1"/>
  <c r="BL20" i="12"/>
  <c r="G188" i="12" s="1"/>
  <c r="BK20" i="12"/>
  <c r="F188" i="12" s="1"/>
  <c r="BJ20" i="12"/>
  <c r="E188" i="12" s="1"/>
  <c r="BI20" i="12"/>
  <c r="BH20" i="12"/>
  <c r="C188" i="12" s="1"/>
  <c r="BG20" i="12"/>
  <c r="B188" i="12" s="1"/>
  <c r="I20" i="12"/>
  <c r="H20" i="12"/>
  <c r="G20" i="12"/>
  <c r="J20" i="12" s="1"/>
  <c r="BN19" i="12"/>
  <c r="I187" i="12" s="1"/>
  <c r="BM19" i="12"/>
  <c r="H187" i="12" s="1"/>
  <c r="BL19" i="12"/>
  <c r="G187" i="12" s="1"/>
  <c r="BK19" i="12"/>
  <c r="F187" i="12" s="1"/>
  <c r="BJ19" i="12"/>
  <c r="E187" i="12" s="1"/>
  <c r="BI19" i="12"/>
  <c r="BH19" i="12"/>
  <c r="BG19" i="12"/>
  <c r="B187" i="12" s="1"/>
  <c r="I19" i="12"/>
  <c r="H19" i="12"/>
  <c r="G19" i="12"/>
  <c r="BN18" i="12"/>
  <c r="I186" i="12" s="1"/>
  <c r="BM18" i="12"/>
  <c r="BL18" i="12"/>
  <c r="G186" i="12" s="1"/>
  <c r="BK18" i="12"/>
  <c r="F186" i="12" s="1"/>
  <c r="BJ18" i="12"/>
  <c r="E186" i="12" s="1"/>
  <c r="BI18" i="12"/>
  <c r="D186" i="12" s="1"/>
  <c r="BH18" i="12"/>
  <c r="C186" i="12" s="1"/>
  <c r="BG18" i="12"/>
  <c r="B186" i="12" s="1"/>
  <c r="I18" i="12"/>
  <c r="H18" i="12"/>
  <c r="G18" i="12"/>
  <c r="BN17" i="12"/>
  <c r="I185" i="12" s="1"/>
  <c r="BM17" i="12"/>
  <c r="BL17" i="12"/>
  <c r="BK17" i="12"/>
  <c r="F185" i="12" s="1"/>
  <c r="BJ17" i="12"/>
  <c r="E185" i="12" s="1"/>
  <c r="BI17" i="12"/>
  <c r="D185" i="12" s="1"/>
  <c r="BH17" i="12"/>
  <c r="C185" i="12" s="1"/>
  <c r="BG17" i="12"/>
  <c r="B185" i="12" s="1"/>
  <c r="I17" i="12"/>
  <c r="H17" i="12"/>
  <c r="G17" i="12"/>
  <c r="J17" i="12" s="1"/>
  <c r="BN16" i="12"/>
  <c r="I184" i="12" s="1"/>
  <c r="BM16" i="12"/>
  <c r="H184" i="12" s="1"/>
  <c r="BL16" i="12"/>
  <c r="G184" i="12" s="1"/>
  <c r="BK16" i="12"/>
  <c r="F184" i="12" s="1"/>
  <c r="BJ16" i="12"/>
  <c r="E184" i="12" s="1"/>
  <c r="BI16" i="12"/>
  <c r="BH16" i="12"/>
  <c r="C184" i="12" s="1"/>
  <c r="BG16" i="12"/>
  <c r="B184" i="12" s="1"/>
  <c r="I16" i="12"/>
  <c r="H16" i="12"/>
  <c r="G16" i="12"/>
  <c r="J16" i="12" s="1"/>
  <c r="BN15" i="12"/>
  <c r="I183" i="12" s="1"/>
  <c r="BM15" i="12"/>
  <c r="BL15" i="12"/>
  <c r="G183" i="12" s="1"/>
  <c r="BK15" i="12"/>
  <c r="F183" i="12" s="1"/>
  <c r="BJ15" i="12"/>
  <c r="E183" i="12" s="1"/>
  <c r="BI15" i="12"/>
  <c r="BH15" i="12"/>
  <c r="BG15" i="12"/>
  <c r="B183" i="12" s="1"/>
  <c r="I15" i="12"/>
  <c r="H15" i="12"/>
  <c r="G15" i="12"/>
  <c r="BN14" i="12"/>
  <c r="I182" i="12" s="1"/>
  <c r="BM14" i="12"/>
  <c r="BL14" i="12"/>
  <c r="G182" i="12" s="1"/>
  <c r="BK14" i="12"/>
  <c r="F182" i="12" s="1"/>
  <c r="BJ14" i="12"/>
  <c r="E182" i="12" s="1"/>
  <c r="BI14" i="12"/>
  <c r="D182" i="12" s="1"/>
  <c r="BH14" i="12"/>
  <c r="C182" i="12" s="1"/>
  <c r="BG14" i="12"/>
  <c r="B182" i="12" s="1"/>
  <c r="I14" i="12"/>
  <c r="H14" i="12"/>
  <c r="G14" i="12"/>
  <c r="BN13" i="12"/>
  <c r="I181" i="12" s="1"/>
  <c r="BM13" i="12"/>
  <c r="BL13" i="12"/>
  <c r="BK13" i="12"/>
  <c r="F181" i="12" s="1"/>
  <c r="BJ13" i="12"/>
  <c r="E181" i="12" s="1"/>
  <c r="BI13" i="12"/>
  <c r="D181" i="12" s="1"/>
  <c r="BH13" i="12"/>
  <c r="C181" i="12" s="1"/>
  <c r="BG13" i="12"/>
  <c r="B181" i="12" s="1"/>
  <c r="I13" i="12"/>
  <c r="H13" i="12"/>
  <c r="G13" i="12"/>
  <c r="J13" i="12" s="1"/>
  <c r="B326" i="23" l="1"/>
  <c r="C352" i="22"/>
  <c r="B352" i="22"/>
  <c r="D352" i="22"/>
  <c r="AC305" i="23"/>
  <c r="AD304" i="23"/>
  <c r="AB297" i="23"/>
  <c r="AG301" i="23"/>
  <c r="AB301" i="23"/>
  <c r="AE304" i="23"/>
  <c r="AC306" i="23"/>
  <c r="AF304" i="23"/>
  <c r="J125" i="12"/>
  <c r="J121" i="12"/>
  <c r="BP72" i="12"/>
  <c r="J70" i="12"/>
  <c r="J68" i="12"/>
  <c r="J117" i="12"/>
  <c r="J74" i="12"/>
  <c r="J67" i="12"/>
  <c r="BO19" i="12"/>
  <c r="J19" i="12"/>
  <c r="BO15" i="12"/>
  <c r="J15" i="12"/>
  <c r="C174" i="12"/>
  <c r="C175" i="12"/>
  <c r="C173" i="12"/>
  <c r="C167" i="12"/>
  <c r="C166" i="12"/>
  <c r="K139" i="12"/>
  <c r="L139" i="12" s="1"/>
  <c r="H139" i="12"/>
  <c r="K138" i="12"/>
  <c r="L138" i="12" s="1"/>
  <c r="H138" i="12"/>
  <c r="I161" i="12"/>
  <c r="I157" i="12"/>
  <c r="I153" i="12"/>
  <c r="H156" i="12"/>
  <c r="G156" i="12"/>
  <c r="H152" i="12"/>
  <c r="G160" i="12"/>
  <c r="F160" i="12"/>
  <c r="J132" i="12"/>
  <c r="I132" i="12" s="1"/>
  <c r="I152" i="12" s="1"/>
  <c r="E156" i="12"/>
  <c r="E160" i="12"/>
  <c r="G159" i="12"/>
  <c r="G151" i="12"/>
  <c r="K131" i="12"/>
  <c r="L131" i="12" s="1"/>
  <c r="L151" i="12" s="1"/>
  <c r="H131" i="12"/>
  <c r="H159" i="12" s="1"/>
  <c r="E151" i="12"/>
  <c r="E159" i="12"/>
  <c r="E155" i="12"/>
  <c r="L158" i="12"/>
  <c r="K158" i="12"/>
  <c r="L154" i="12"/>
  <c r="K154" i="12"/>
  <c r="L150" i="12"/>
  <c r="K150" i="12"/>
  <c r="E158" i="12"/>
  <c r="J130" i="12"/>
  <c r="W188" i="12"/>
  <c r="BQ124" i="12"/>
  <c r="BP121" i="12"/>
  <c r="BS121" i="12" s="1"/>
  <c r="BU121" i="12" s="1"/>
  <c r="T185" i="12"/>
  <c r="BO119" i="12"/>
  <c r="S183" i="12"/>
  <c r="S211" i="12" s="1"/>
  <c r="BR117" i="12"/>
  <c r="X181" i="12"/>
  <c r="X209" i="12" s="1"/>
  <c r="T181" i="12"/>
  <c r="T209" i="12" s="1"/>
  <c r="BP117" i="12"/>
  <c r="K88" i="12"/>
  <c r="L88" i="12" s="1"/>
  <c r="H88" i="12"/>
  <c r="H87" i="12"/>
  <c r="K87" i="12"/>
  <c r="L87" i="12" s="1"/>
  <c r="E87" i="12"/>
  <c r="J87" i="12"/>
  <c r="I87" i="12" s="1"/>
  <c r="L101" i="12"/>
  <c r="K105" i="12"/>
  <c r="K101" i="12"/>
  <c r="F107" i="12"/>
  <c r="F103" i="12"/>
  <c r="J79" i="12"/>
  <c r="E103" i="12"/>
  <c r="E99" i="12"/>
  <c r="E107" i="12"/>
  <c r="K106" i="12"/>
  <c r="K98" i="12"/>
  <c r="L106" i="12"/>
  <c r="BO73" i="12"/>
  <c r="J189" i="12"/>
  <c r="J203" i="12" s="1"/>
  <c r="N213" i="12"/>
  <c r="N199" i="12"/>
  <c r="P184" i="12"/>
  <c r="BR68" i="12"/>
  <c r="BP68" i="12"/>
  <c r="L184" i="12"/>
  <c r="L212" i="12" s="1"/>
  <c r="L181" i="12"/>
  <c r="BP65" i="12"/>
  <c r="H36" i="12"/>
  <c r="K36" i="12"/>
  <c r="L36" i="12" s="1"/>
  <c r="H34" i="12"/>
  <c r="K34" i="12"/>
  <c r="L34" i="12" s="1"/>
  <c r="L57" i="12"/>
  <c r="K53" i="12"/>
  <c r="K57" i="12"/>
  <c r="K49" i="12"/>
  <c r="I53" i="12"/>
  <c r="J53" i="12"/>
  <c r="K28" i="12"/>
  <c r="G48" i="12"/>
  <c r="G56" i="12"/>
  <c r="J28" i="12"/>
  <c r="F48" i="12"/>
  <c r="F56" i="12"/>
  <c r="K27" i="12"/>
  <c r="G51" i="12"/>
  <c r="G47" i="12"/>
  <c r="G55" i="12"/>
  <c r="H27" i="12"/>
  <c r="H55" i="12" s="1"/>
  <c r="J27" i="12"/>
  <c r="I51" i="12" s="1"/>
  <c r="F47" i="12"/>
  <c r="F55" i="12"/>
  <c r="E55" i="12"/>
  <c r="E51" i="12"/>
  <c r="E47" i="12"/>
  <c r="F51" i="12"/>
  <c r="K46" i="12"/>
  <c r="K54" i="12"/>
  <c r="F50" i="12"/>
  <c r="E50" i="12"/>
  <c r="J26" i="12"/>
  <c r="E54" i="12"/>
  <c r="F54" i="12"/>
  <c r="F46" i="12"/>
  <c r="E46" i="12"/>
  <c r="H189" i="12"/>
  <c r="H217" i="12" s="1"/>
  <c r="BR21" i="12"/>
  <c r="BP19" i="12"/>
  <c r="D187" i="12"/>
  <c r="D215" i="12" s="1"/>
  <c r="H185" i="12"/>
  <c r="BR17" i="12"/>
  <c r="BR15" i="12"/>
  <c r="H183" i="12"/>
  <c r="D183" i="12"/>
  <c r="BP15" i="12"/>
  <c r="H181" i="12"/>
  <c r="BR13" i="12"/>
  <c r="AG306" i="23"/>
  <c r="AG304" i="23"/>
  <c r="AB303" i="23"/>
  <c r="B331" i="23" s="1"/>
  <c r="AC303" i="23"/>
  <c r="B344" i="23" s="1"/>
  <c r="Z302" i="23"/>
  <c r="F302" i="23"/>
  <c r="AD302" i="23" s="1"/>
  <c r="G302" i="23"/>
  <c r="AE302" i="23" s="1"/>
  <c r="E302" i="23"/>
  <c r="AC302" i="23" s="1"/>
  <c r="H302" i="23"/>
  <c r="AF302" i="23" s="1"/>
  <c r="C302" i="23"/>
  <c r="AA302" i="23" s="1"/>
  <c r="D302" i="23"/>
  <c r="AB302" i="23" s="1"/>
  <c r="B330" i="23" s="1"/>
  <c r="I302" i="23"/>
  <c r="AG302" i="23" s="1"/>
  <c r="D300" i="23"/>
  <c r="AB300" i="23" s="1"/>
  <c r="H300" i="23"/>
  <c r="AF300" i="23" s="1"/>
  <c r="E300" i="23"/>
  <c r="AC300" i="23" s="1"/>
  <c r="C300" i="23"/>
  <c r="AA300" i="23" s="1"/>
  <c r="I300" i="23"/>
  <c r="AG300" i="23" s="1"/>
  <c r="G300" i="23"/>
  <c r="AE300" i="23" s="1"/>
  <c r="AJ300" i="23" s="1"/>
  <c r="F300" i="23"/>
  <c r="AD300" i="23" s="1"/>
  <c r="B300" i="23"/>
  <c r="Z300" i="23" s="1"/>
  <c r="D237" i="24"/>
  <c r="C248" i="24"/>
  <c r="C216" i="24"/>
  <c r="G211" i="24"/>
  <c r="D225" i="24"/>
  <c r="G243" i="24"/>
  <c r="C240" i="24"/>
  <c r="H224" i="24"/>
  <c r="I237" i="24"/>
  <c r="I213" i="24"/>
  <c r="C244" i="24"/>
  <c r="H216" i="24"/>
  <c r="D233" i="24"/>
  <c r="C236" i="24"/>
  <c r="D224" i="24"/>
  <c r="H240" i="24"/>
  <c r="I219" i="24"/>
  <c r="G219" i="24"/>
  <c r="B243" i="24"/>
  <c r="C220" i="24"/>
  <c r="G231" i="24"/>
  <c r="I248" i="24"/>
  <c r="B229" i="24"/>
  <c r="C224" i="24"/>
  <c r="G221" i="24"/>
  <c r="C225" i="24"/>
  <c r="C223" i="24"/>
  <c r="C237" i="24"/>
  <c r="C221" i="24"/>
  <c r="G220" i="24"/>
  <c r="G240" i="24"/>
  <c r="D232" i="24"/>
  <c r="H228" i="24"/>
  <c r="B227" i="24"/>
  <c r="C241" i="24"/>
  <c r="H237" i="24"/>
  <c r="B248" i="24"/>
  <c r="B247" i="24"/>
  <c r="C215" i="24"/>
  <c r="G244" i="24"/>
  <c r="H217" i="24"/>
  <c r="I231" i="24"/>
  <c r="C211" i="24"/>
  <c r="C245" i="24"/>
  <c r="D213" i="24"/>
  <c r="I221" i="24"/>
  <c r="D217" i="24"/>
  <c r="G239" i="24"/>
  <c r="H211" i="24"/>
  <c r="H231" i="24"/>
  <c r="G259" i="24" s="1"/>
  <c r="B211" i="24"/>
  <c r="B249" i="24"/>
  <c r="C247" i="24"/>
  <c r="C233" i="24"/>
  <c r="C229" i="24"/>
  <c r="D258" i="24" s="1"/>
  <c r="D221" i="24"/>
  <c r="B232" i="24"/>
  <c r="B241" i="24"/>
  <c r="G225" i="24"/>
  <c r="D239" i="24"/>
  <c r="I224" i="24"/>
  <c r="I244" i="24"/>
  <c r="H239" i="24"/>
  <c r="I215" i="24"/>
  <c r="D229" i="24"/>
  <c r="C219" i="24"/>
  <c r="H236" i="24"/>
  <c r="G213" i="24"/>
  <c r="H220" i="24"/>
  <c r="D241" i="24"/>
  <c r="I223" i="24"/>
  <c r="D211" i="24"/>
  <c r="C227" i="24"/>
  <c r="B235" i="24"/>
  <c r="I236" i="24"/>
  <c r="D220" i="24"/>
  <c r="D247" i="24"/>
  <c r="G248" i="24"/>
  <c r="H263" i="24" s="1"/>
  <c r="G224" i="24"/>
  <c r="I232" i="24"/>
  <c r="H213" i="24"/>
  <c r="D227" i="24"/>
  <c r="H223" i="24"/>
  <c r="G257" i="24" s="1"/>
  <c r="I249" i="24"/>
  <c r="D240" i="24"/>
  <c r="B221" i="24"/>
  <c r="H249" i="24"/>
  <c r="B213" i="24"/>
  <c r="D215" i="24"/>
  <c r="H248" i="24"/>
  <c r="C243" i="24"/>
  <c r="I241" i="24"/>
  <c r="H241" i="24"/>
  <c r="G241" i="24"/>
  <c r="I216" i="24"/>
  <c r="H233" i="24"/>
  <c r="B216" i="24"/>
  <c r="H229" i="24"/>
  <c r="G229" i="24"/>
  <c r="I229" i="24"/>
  <c r="I217" i="24"/>
  <c r="G215" i="24"/>
  <c r="G216" i="24"/>
  <c r="D244" i="24"/>
  <c r="H225" i="24"/>
  <c r="I233" i="24"/>
  <c r="C249" i="24"/>
  <c r="B239" i="24"/>
  <c r="I228" i="24"/>
  <c r="B215" i="24"/>
  <c r="B237" i="24"/>
  <c r="C212" i="24"/>
  <c r="H235" i="24"/>
  <c r="G235" i="24"/>
  <c r="I235" i="24"/>
  <c r="G232" i="24"/>
  <c r="B228" i="24"/>
  <c r="I220" i="24"/>
  <c r="H256" i="24" s="1"/>
  <c r="B225" i="24"/>
  <c r="C235" i="24"/>
  <c r="H227" i="24"/>
  <c r="G227" i="24"/>
  <c r="I227" i="24"/>
  <c r="G223" i="24"/>
  <c r="H215" i="24"/>
  <c r="H244" i="24"/>
  <c r="D219" i="24"/>
  <c r="I225" i="24"/>
  <c r="D249" i="24"/>
  <c r="C239" i="24"/>
  <c r="B217" i="24"/>
  <c r="I239" i="24"/>
  <c r="I212" i="24"/>
  <c r="H212" i="24"/>
  <c r="G212" i="24"/>
  <c r="G237" i="24"/>
  <c r="I260" i="24" s="1"/>
  <c r="H221" i="24"/>
  <c r="B245" i="24"/>
  <c r="H219" i="24"/>
  <c r="B220" i="24"/>
  <c r="C256" i="24" s="1"/>
  <c r="D212" i="24"/>
  <c r="D248" i="24"/>
  <c r="D243" i="24"/>
  <c r="D236" i="24"/>
  <c r="C232" i="24"/>
  <c r="H243" i="24"/>
  <c r="H232" i="24"/>
  <c r="I211" i="24"/>
  <c r="C228" i="24"/>
  <c r="G217" i="24"/>
  <c r="B223" i="24"/>
  <c r="D235" i="24"/>
  <c r="B224" i="24"/>
  <c r="C213" i="24"/>
  <c r="B212" i="24"/>
  <c r="G247" i="24"/>
  <c r="I247" i="24"/>
  <c r="H247" i="24"/>
  <c r="B236" i="24"/>
  <c r="D223" i="24"/>
  <c r="I240" i="24"/>
  <c r="B240" i="24"/>
  <c r="B244" i="24"/>
  <c r="B219" i="24"/>
  <c r="G233" i="24"/>
  <c r="D216" i="24"/>
  <c r="G228" i="24"/>
  <c r="C217" i="24"/>
  <c r="D231" i="24"/>
  <c r="C231" i="24"/>
  <c r="B231" i="24"/>
  <c r="G236" i="24"/>
  <c r="G249" i="24"/>
  <c r="H245" i="24"/>
  <c r="G245" i="24"/>
  <c r="I243" i="24"/>
  <c r="D228" i="24"/>
  <c r="B233" i="24"/>
  <c r="Z301" i="23"/>
  <c r="AH301" i="23" s="1"/>
  <c r="AE301" i="23"/>
  <c r="AF301" i="23"/>
  <c r="AC301" i="23"/>
  <c r="AC297" i="23"/>
  <c r="B338" i="23" s="1"/>
  <c r="AG297" i="23"/>
  <c r="AK297" i="23" s="1"/>
  <c r="AE299" i="23"/>
  <c r="AJ299" i="23" s="1"/>
  <c r="AD301" i="23"/>
  <c r="AJ297" i="23"/>
  <c r="AG305" i="23"/>
  <c r="AE303" i="23"/>
  <c r="AJ303" i="23" s="1"/>
  <c r="Z305" i="23"/>
  <c r="B346" i="23" s="1"/>
  <c r="AE305" i="23"/>
  <c r="AC304" i="23"/>
  <c r="AB306" i="23"/>
  <c r="AD305" i="23"/>
  <c r="AG299" i="23"/>
  <c r="AH303" i="23"/>
  <c r="Z304" i="23"/>
  <c r="AH304" i="23" s="1"/>
  <c r="AG303" i="23"/>
  <c r="AF299" i="23"/>
  <c r="AB304" i="23"/>
  <c r="B332" i="23" s="1"/>
  <c r="AH297" i="23"/>
  <c r="AF306" i="23"/>
  <c r="AJ298" i="23"/>
  <c r="AF303" i="23"/>
  <c r="Z306" i="23"/>
  <c r="AB305" i="23"/>
  <c r="B340" i="23"/>
  <c r="AA306" i="23"/>
  <c r="AD306" i="23"/>
  <c r="AJ306" i="23" s="1"/>
  <c r="B339" i="23"/>
  <c r="AH298" i="23"/>
  <c r="AH299" i="23"/>
  <c r="AI299" i="23"/>
  <c r="AJ302" i="23"/>
  <c r="AJ304" i="23"/>
  <c r="AI303" i="23"/>
  <c r="AK298" i="23"/>
  <c r="AH302" i="23"/>
  <c r="AI298" i="23"/>
  <c r="J104" i="22"/>
  <c r="BS121" i="22"/>
  <c r="BT72" i="22"/>
  <c r="BT16" i="22"/>
  <c r="BT126" i="22"/>
  <c r="J108" i="22"/>
  <c r="J100" i="22"/>
  <c r="BS21" i="22"/>
  <c r="BS17" i="22"/>
  <c r="BS75" i="22"/>
  <c r="BS68" i="22"/>
  <c r="L28" i="22"/>
  <c r="L56" i="22" s="1"/>
  <c r="I100" i="22"/>
  <c r="K52" i="22"/>
  <c r="BT123" i="22"/>
  <c r="BS73" i="22"/>
  <c r="BS118" i="22"/>
  <c r="BT23" i="22"/>
  <c r="I104" i="22"/>
  <c r="BT127" i="22"/>
  <c r="BS72" i="22"/>
  <c r="BS19" i="22"/>
  <c r="J109" i="22"/>
  <c r="BS66" i="22"/>
  <c r="BT73" i="22"/>
  <c r="BT118" i="22"/>
  <c r="L100" i="22"/>
  <c r="BT67" i="22"/>
  <c r="BT66" i="22"/>
  <c r="BT22" i="22"/>
  <c r="BT21" i="22"/>
  <c r="L104" i="22"/>
  <c r="BS71" i="22"/>
  <c r="BS15" i="22"/>
  <c r="BS22" i="22"/>
  <c r="BS18" i="22"/>
  <c r="I105" i="22"/>
  <c r="I109" i="22"/>
  <c r="I101" i="22"/>
  <c r="H100" i="22"/>
  <c r="D358" i="22"/>
  <c r="B355" i="22"/>
  <c r="BS20" i="22"/>
  <c r="J103" i="22"/>
  <c r="J107" i="22"/>
  <c r="J99" i="22"/>
  <c r="I99" i="22"/>
  <c r="I107" i="22"/>
  <c r="BT125" i="22"/>
  <c r="D354" i="22"/>
  <c r="J105" i="22"/>
  <c r="C360" i="22"/>
  <c r="I103" i="22"/>
  <c r="H108" i="22"/>
  <c r="J101" i="22"/>
  <c r="BT74" i="22"/>
  <c r="BT20" i="22"/>
  <c r="BS74" i="22"/>
  <c r="BU74" i="22" s="1"/>
  <c r="BT19" i="22"/>
  <c r="C355" i="22"/>
  <c r="BS122" i="22"/>
  <c r="D360" i="22"/>
  <c r="B357" i="22"/>
  <c r="B353" i="22"/>
  <c r="C354" i="22"/>
  <c r="C353" i="22"/>
  <c r="BT122" i="22"/>
  <c r="BT120" i="22"/>
  <c r="BS125" i="22"/>
  <c r="BT14" i="22"/>
  <c r="D353" i="22"/>
  <c r="BS69" i="22"/>
  <c r="BT17" i="22"/>
  <c r="BT70" i="22"/>
  <c r="H160" i="22"/>
  <c r="H156" i="22"/>
  <c r="H152" i="22"/>
  <c r="BS127" i="22"/>
  <c r="BS123" i="22"/>
  <c r="B359" i="22"/>
  <c r="D356" i="22"/>
  <c r="B351" i="22"/>
  <c r="BS120" i="22"/>
  <c r="C356" i="22"/>
  <c r="C170" i="22"/>
  <c r="B360" i="22"/>
  <c r="D357" i="22"/>
  <c r="K160" i="22"/>
  <c r="K156" i="22"/>
  <c r="K152" i="22"/>
  <c r="L132" i="22"/>
  <c r="L156" i="22" s="1"/>
  <c r="BS119" i="22"/>
  <c r="E105" i="22"/>
  <c r="E109" i="22"/>
  <c r="E101" i="22"/>
  <c r="BT68" i="22"/>
  <c r="J55" i="22"/>
  <c r="J51" i="22"/>
  <c r="J47" i="22"/>
  <c r="I55" i="22"/>
  <c r="I51" i="22"/>
  <c r="I47" i="22"/>
  <c r="L109" i="22"/>
  <c r="L105" i="22"/>
  <c r="L101" i="22"/>
  <c r="K109" i="22"/>
  <c r="K101" i="22"/>
  <c r="K105" i="22"/>
  <c r="D359" i="22"/>
  <c r="B356" i="22"/>
  <c r="C357" i="22"/>
  <c r="L57" i="22"/>
  <c r="L53" i="22"/>
  <c r="L49" i="22"/>
  <c r="K53" i="22"/>
  <c r="K49" i="22"/>
  <c r="K57" i="22"/>
  <c r="J56" i="22"/>
  <c r="J52" i="22"/>
  <c r="J48" i="22"/>
  <c r="I56" i="22"/>
  <c r="I52" i="22"/>
  <c r="I48" i="22"/>
  <c r="BT18" i="22"/>
  <c r="K161" i="22"/>
  <c r="K157" i="22"/>
  <c r="K153" i="22"/>
  <c r="L161" i="22"/>
  <c r="L157" i="22"/>
  <c r="L153" i="22"/>
  <c r="J159" i="22"/>
  <c r="J155" i="22"/>
  <c r="J151" i="22"/>
  <c r="I159" i="22"/>
  <c r="I155" i="22"/>
  <c r="I151" i="22"/>
  <c r="C358" i="22"/>
  <c r="BS124" i="22"/>
  <c r="BS23" i="22"/>
  <c r="BT121" i="22"/>
  <c r="D355" i="22"/>
  <c r="D351" i="22"/>
  <c r="BT69" i="22"/>
  <c r="C359" i="22"/>
  <c r="C351" i="22"/>
  <c r="BS14" i="22"/>
  <c r="E161" i="22"/>
  <c r="E157" i="22"/>
  <c r="E153" i="22"/>
  <c r="E57" i="22"/>
  <c r="E53" i="22"/>
  <c r="E49" i="22"/>
  <c r="J160" i="22"/>
  <c r="J156" i="22"/>
  <c r="J152" i="22"/>
  <c r="I160" i="22"/>
  <c r="I156" i="22"/>
  <c r="I152" i="22"/>
  <c r="BS126" i="22"/>
  <c r="J161" i="22"/>
  <c r="J157" i="22"/>
  <c r="J153" i="22"/>
  <c r="I133" i="22"/>
  <c r="BT124" i="22"/>
  <c r="BT119" i="22"/>
  <c r="BT75" i="22"/>
  <c r="BT71" i="22"/>
  <c r="BS70" i="22"/>
  <c r="J57" i="22"/>
  <c r="J53" i="22"/>
  <c r="J49" i="22"/>
  <c r="I29" i="22"/>
  <c r="BS67" i="22"/>
  <c r="BS16" i="22"/>
  <c r="B358" i="22"/>
  <c r="B354" i="22"/>
  <c r="BT15" i="22"/>
  <c r="B148" i="21"/>
  <c r="C148" i="21"/>
  <c r="D148" i="21"/>
  <c r="C149" i="21"/>
  <c r="B149" i="21"/>
  <c r="D149" i="21"/>
  <c r="D157" i="21"/>
  <c r="C157" i="21"/>
  <c r="B157" i="21"/>
  <c r="B147" i="21"/>
  <c r="D147" i="21"/>
  <c r="C147" i="21"/>
  <c r="C155" i="21"/>
  <c r="B155" i="21"/>
  <c r="D155" i="21"/>
  <c r="D156" i="21"/>
  <c r="C156" i="21"/>
  <c r="B156" i="21"/>
  <c r="B107" i="21"/>
  <c r="D101" i="21"/>
  <c r="C281" i="21"/>
  <c r="C109" i="21"/>
  <c r="C159" i="21" s="1"/>
  <c r="C101" i="21"/>
  <c r="B276" i="21"/>
  <c r="D107" i="21"/>
  <c r="D279" i="21"/>
  <c r="D277" i="21"/>
  <c r="D278" i="21"/>
  <c r="B279" i="21"/>
  <c r="C273" i="21"/>
  <c r="D281" i="21"/>
  <c r="C116" i="21"/>
  <c r="B282" i="21"/>
  <c r="D275" i="21"/>
  <c r="B102" i="21"/>
  <c r="D103" i="21"/>
  <c r="C135" i="21" s="1"/>
  <c r="C102" i="21"/>
  <c r="B104" i="21"/>
  <c r="C105" i="21"/>
  <c r="B274" i="21"/>
  <c r="C104" i="21"/>
  <c r="D282" i="21"/>
  <c r="B105" i="21"/>
  <c r="D145" i="21" s="1"/>
  <c r="C107" i="21"/>
  <c r="B281" i="21"/>
  <c r="D100" i="21"/>
  <c r="C276" i="21"/>
  <c r="B100" i="21"/>
  <c r="C279" i="21"/>
  <c r="B221" i="19"/>
  <c r="B100" i="19"/>
  <c r="C229" i="19"/>
  <c r="C108" i="19"/>
  <c r="C226" i="19"/>
  <c r="C105" i="19"/>
  <c r="D229" i="19"/>
  <c r="D108" i="19"/>
  <c r="C223" i="19"/>
  <c r="C102" i="19"/>
  <c r="D230" i="19"/>
  <c r="D109" i="19"/>
  <c r="C224" i="19"/>
  <c r="C103" i="19"/>
  <c r="B227" i="19"/>
  <c r="B106" i="19"/>
  <c r="C225" i="19"/>
  <c r="C104" i="19"/>
  <c r="C230" i="19"/>
  <c r="C109" i="19"/>
  <c r="C227" i="19"/>
  <c r="C106" i="19"/>
  <c r="B222" i="19"/>
  <c r="B101" i="19"/>
  <c r="D228" i="19"/>
  <c r="D107" i="19"/>
  <c r="C222" i="19"/>
  <c r="C101" i="19"/>
  <c r="D225" i="19"/>
  <c r="D104" i="19"/>
  <c r="B229" i="19"/>
  <c r="B108" i="19"/>
  <c r="D226" i="19"/>
  <c r="D105" i="19"/>
  <c r="B230" i="19"/>
  <c r="B109" i="19"/>
  <c r="D227" i="19"/>
  <c r="D106" i="19"/>
  <c r="C221" i="19"/>
  <c r="C100" i="19"/>
  <c r="B224" i="19"/>
  <c r="B103" i="19"/>
  <c r="C228" i="19"/>
  <c r="C107" i="19"/>
  <c r="D224" i="19"/>
  <c r="D103" i="19"/>
  <c r="B228" i="19"/>
  <c r="B107" i="19"/>
  <c r="D221" i="19"/>
  <c r="D100" i="19"/>
  <c r="B225" i="19"/>
  <c r="B104" i="19"/>
  <c r="D222" i="19"/>
  <c r="D101" i="19"/>
  <c r="B226" i="19"/>
  <c r="B105" i="19"/>
  <c r="D223" i="19"/>
  <c r="D102" i="19"/>
  <c r="B223" i="19"/>
  <c r="B102" i="19"/>
  <c r="C130" i="19"/>
  <c r="J17" i="14"/>
  <c r="B193" i="14" s="1"/>
  <c r="J21" i="14"/>
  <c r="B197" i="14" s="1"/>
  <c r="B137" i="14" s="1"/>
  <c r="J45" i="14"/>
  <c r="C191" i="14" s="1"/>
  <c r="C114" i="14" s="1"/>
  <c r="J49" i="14"/>
  <c r="C195" i="14" s="1"/>
  <c r="C130" i="14" s="1"/>
  <c r="J53" i="14"/>
  <c r="C199" i="14" s="1"/>
  <c r="C146" i="14" s="1"/>
  <c r="J77" i="14"/>
  <c r="D193" i="14" s="1"/>
  <c r="J81" i="14"/>
  <c r="D197" i="14" s="1"/>
  <c r="C101" i="14"/>
  <c r="C104" i="14" s="1"/>
  <c r="E101" i="14"/>
  <c r="E102" i="14"/>
  <c r="J16" i="14"/>
  <c r="B192" i="14" s="1"/>
  <c r="J20" i="14"/>
  <c r="B196" i="14" s="1"/>
  <c r="J44" i="14"/>
  <c r="C190" i="14" s="1"/>
  <c r="J48" i="14"/>
  <c r="C194" i="14" s="1"/>
  <c r="C126" i="14" s="1"/>
  <c r="J52" i="14"/>
  <c r="C198" i="14" s="1"/>
  <c r="C142" i="14" s="1"/>
  <c r="J76" i="14"/>
  <c r="D192" i="14" s="1"/>
  <c r="J80" i="14"/>
  <c r="D196" i="14" s="1"/>
  <c r="J15" i="14"/>
  <c r="B191" i="14" s="1"/>
  <c r="J19" i="14"/>
  <c r="B195" i="14" s="1"/>
  <c r="J23" i="14"/>
  <c r="B199" i="14" s="1"/>
  <c r="J47" i="14"/>
  <c r="C193" i="14" s="1"/>
  <c r="C122" i="14" s="1"/>
  <c r="J51" i="14"/>
  <c r="C197" i="14" s="1"/>
  <c r="J75" i="14"/>
  <c r="D191" i="14" s="1"/>
  <c r="J79" i="14"/>
  <c r="D195" i="14" s="1"/>
  <c r="J83" i="14"/>
  <c r="D199" i="14" s="1"/>
  <c r="J14" i="14"/>
  <c r="B190" i="14" s="1"/>
  <c r="J18" i="14"/>
  <c r="B194" i="14" s="1"/>
  <c r="J22" i="14"/>
  <c r="B198" i="14" s="1"/>
  <c r="J46" i="14"/>
  <c r="C192" i="14" s="1"/>
  <c r="C118" i="14" s="1"/>
  <c r="J50" i="14"/>
  <c r="C196" i="14" s="1"/>
  <c r="C134" i="14" s="1"/>
  <c r="J74" i="14"/>
  <c r="D190" i="14" s="1"/>
  <c r="D109" i="14" s="1"/>
  <c r="J78" i="14"/>
  <c r="D194" i="14" s="1"/>
  <c r="J82" i="14"/>
  <c r="D198" i="14" s="1"/>
  <c r="BP125" i="12"/>
  <c r="BO123" i="12"/>
  <c r="BQ123" i="12"/>
  <c r="W184" i="12"/>
  <c r="X185" i="12"/>
  <c r="S187" i="12"/>
  <c r="BO124" i="12"/>
  <c r="S188" i="12"/>
  <c r="V190" i="12"/>
  <c r="BO117" i="12"/>
  <c r="BQ22" i="12"/>
  <c r="O215" i="12"/>
  <c r="BR71" i="12"/>
  <c r="BP70" i="12"/>
  <c r="BO70" i="12"/>
  <c r="BS70" i="12" s="1"/>
  <c r="BQ70" i="12"/>
  <c r="BR70" i="12"/>
  <c r="BO68" i="12"/>
  <c r="BO72" i="12"/>
  <c r="L216" i="12"/>
  <c r="L202" i="12"/>
  <c r="K188" i="12"/>
  <c r="K216" i="12" s="1"/>
  <c r="N204" i="12"/>
  <c r="N218" i="12"/>
  <c r="BP74" i="12"/>
  <c r="BQ73" i="12"/>
  <c r="BO66" i="12"/>
  <c r="P182" i="12"/>
  <c r="P210" i="12" s="1"/>
  <c r="BQ65" i="12"/>
  <c r="J195" i="12"/>
  <c r="C187" i="12"/>
  <c r="BQ18" i="12"/>
  <c r="BQ14" i="12"/>
  <c r="Q196" i="12"/>
  <c r="Q210" i="12"/>
  <c r="Q212" i="12"/>
  <c r="Q198" i="12"/>
  <c r="M211" i="12"/>
  <c r="M197" i="12"/>
  <c r="BR14" i="12"/>
  <c r="BT14" i="12" s="1"/>
  <c r="H182" i="12"/>
  <c r="L189" i="12"/>
  <c r="BP73" i="12"/>
  <c r="BO74" i="12"/>
  <c r="K190" i="12"/>
  <c r="O218" i="12"/>
  <c r="O204" i="12"/>
  <c r="G104" i="12"/>
  <c r="H100" i="12"/>
  <c r="K80" i="12"/>
  <c r="G100" i="12"/>
  <c r="BR119" i="12"/>
  <c r="BR123" i="12"/>
  <c r="K186" i="12"/>
  <c r="M215" i="12"/>
  <c r="M201" i="12"/>
  <c r="M218" i="12"/>
  <c r="M204" i="12"/>
  <c r="Q202" i="12"/>
  <c r="M210" i="12"/>
  <c r="BO13" i="12"/>
  <c r="BO14" i="12"/>
  <c r="BQ16" i="12"/>
  <c r="BO17" i="12"/>
  <c r="BO18" i="12"/>
  <c r="BR19" i="12"/>
  <c r="BQ20" i="12"/>
  <c r="BO21" i="12"/>
  <c r="BO22" i="12"/>
  <c r="L54" i="12"/>
  <c r="L50" i="12"/>
  <c r="L46" i="12"/>
  <c r="H56" i="12"/>
  <c r="H52" i="12"/>
  <c r="H48" i="12"/>
  <c r="J49" i="12"/>
  <c r="K50" i="12"/>
  <c r="F52" i="12"/>
  <c r="J57" i="12"/>
  <c r="BQ66" i="12"/>
  <c r="BT66" i="12" s="1"/>
  <c r="J197" i="12"/>
  <c r="J211" i="12"/>
  <c r="N211" i="12"/>
  <c r="N197" i="12"/>
  <c r="BO67" i="12"/>
  <c r="M212" i="12"/>
  <c r="M198" i="12"/>
  <c r="Q215" i="12"/>
  <c r="Q201" i="12"/>
  <c r="N216" i="12"/>
  <c r="N202" i="12"/>
  <c r="BR72" i="12"/>
  <c r="M217" i="12"/>
  <c r="M203" i="12"/>
  <c r="H79" i="12"/>
  <c r="H99" i="12" s="1"/>
  <c r="H107" i="12"/>
  <c r="G107" i="12"/>
  <c r="H103" i="12"/>
  <c r="K79" i="12"/>
  <c r="I109" i="12"/>
  <c r="I105" i="12"/>
  <c r="I101" i="12"/>
  <c r="J101" i="12"/>
  <c r="H104" i="12"/>
  <c r="V182" i="12"/>
  <c r="V210" i="12" s="1"/>
  <c r="BQ118" i="12"/>
  <c r="BT118" i="12" s="1"/>
  <c r="BO118" i="12"/>
  <c r="BT119" i="12"/>
  <c r="V186" i="12"/>
  <c r="V214" i="12" s="1"/>
  <c r="BQ122" i="12"/>
  <c r="BT122" i="12" s="1"/>
  <c r="BO122" i="12"/>
  <c r="BT123" i="12"/>
  <c r="BO126" i="12"/>
  <c r="K140" i="12"/>
  <c r="L140" i="12" s="1"/>
  <c r="D195" i="12"/>
  <c r="D209" i="12"/>
  <c r="O181" i="12"/>
  <c r="C183" i="12"/>
  <c r="P212" i="12"/>
  <c r="P198" i="12"/>
  <c r="Y212" i="12"/>
  <c r="S185" i="12"/>
  <c r="S213" i="12" s="1"/>
  <c r="E200" i="12"/>
  <c r="E214" i="12"/>
  <c r="L214" i="12"/>
  <c r="L200" i="12"/>
  <c r="Y216" i="12"/>
  <c r="O217" i="12"/>
  <c r="O203" i="12"/>
  <c r="C195" i="12"/>
  <c r="O196" i="12"/>
  <c r="I198" i="12"/>
  <c r="D200" i="12"/>
  <c r="T200" i="12" s="1"/>
  <c r="Q203" i="12"/>
  <c r="O211" i="12"/>
  <c r="D210" i="12"/>
  <c r="D196" i="12"/>
  <c r="BR18" i="12"/>
  <c r="BT18" i="12" s="1"/>
  <c r="H186" i="12"/>
  <c r="B215" i="12"/>
  <c r="B201" i="12"/>
  <c r="R201" i="12" s="1"/>
  <c r="F201" i="12"/>
  <c r="F215" i="12"/>
  <c r="I216" i="12"/>
  <c r="I202" i="12"/>
  <c r="Y202" i="12" s="1"/>
  <c r="D218" i="12"/>
  <c r="D204" i="12"/>
  <c r="H190" i="12"/>
  <c r="BR22" i="12"/>
  <c r="BT22" i="12" s="1"/>
  <c r="BP67" i="12"/>
  <c r="L183" i="12"/>
  <c r="BR67" i="12"/>
  <c r="BQ68" i="12"/>
  <c r="BT68" i="12" s="1"/>
  <c r="O184" i="12"/>
  <c r="K213" i="12"/>
  <c r="K199" i="12"/>
  <c r="J214" i="12"/>
  <c r="J200" i="12"/>
  <c r="K217" i="12"/>
  <c r="K203" i="12"/>
  <c r="J218" i="12"/>
  <c r="J204" i="12"/>
  <c r="J80" i="12"/>
  <c r="E80" i="12"/>
  <c r="F108" i="12"/>
  <c r="F104" i="12"/>
  <c r="BQ117" i="12"/>
  <c r="BT117" i="12" s="1"/>
  <c r="BP119" i="12"/>
  <c r="BS119" i="12" s="1"/>
  <c r="BU119" i="12" s="1"/>
  <c r="U183" i="12"/>
  <c r="U211" i="12" s="1"/>
  <c r="T184" i="12"/>
  <c r="T212" i="12" s="1"/>
  <c r="BP120" i="12"/>
  <c r="BR120" i="12"/>
  <c r="BT120" i="12" s="1"/>
  <c r="X184" i="12"/>
  <c r="X212" i="12" s="1"/>
  <c r="BQ121" i="12"/>
  <c r="BT121" i="12" s="1"/>
  <c r="BP123" i="12"/>
  <c r="BS123" i="12" s="1"/>
  <c r="U187" i="12"/>
  <c r="U215" i="12" s="1"/>
  <c r="T188" i="12"/>
  <c r="T216" i="12" s="1"/>
  <c r="BP124" i="12"/>
  <c r="BS124" i="12" s="1"/>
  <c r="X188" i="12"/>
  <c r="X216" i="12" s="1"/>
  <c r="BR124" i="12"/>
  <c r="BT124" i="12" s="1"/>
  <c r="BO125" i="12"/>
  <c r="BS125" i="12" s="1"/>
  <c r="S189" i="12"/>
  <c r="S217" i="12" s="1"/>
  <c r="BQ125" i="12"/>
  <c r="F159" i="12"/>
  <c r="F155" i="12"/>
  <c r="F151" i="12"/>
  <c r="J131" i="12"/>
  <c r="I160" i="12"/>
  <c r="I156" i="12"/>
  <c r="I195" i="12"/>
  <c r="S181" i="12"/>
  <c r="S209" i="12" s="1"/>
  <c r="E196" i="12"/>
  <c r="E210" i="12"/>
  <c r="H211" i="12"/>
  <c r="H197" i="12"/>
  <c r="K184" i="12"/>
  <c r="D199" i="12"/>
  <c r="D213" i="12"/>
  <c r="Q200" i="12"/>
  <c r="Q214" i="12"/>
  <c r="C201" i="12"/>
  <c r="I217" i="12"/>
  <c r="I203" i="12"/>
  <c r="Y203" i="12" s="1"/>
  <c r="G196" i="12"/>
  <c r="W196" i="12" s="1"/>
  <c r="E197" i="12"/>
  <c r="U197" i="12" s="1"/>
  <c r="B198" i="12"/>
  <c r="N200" i="12"/>
  <c r="D201" i="12"/>
  <c r="F203" i="12"/>
  <c r="L210" i="12"/>
  <c r="BS15" i="12"/>
  <c r="BQ15" i="12"/>
  <c r="BT15" i="12" s="1"/>
  <c r="F212" i="12"/>
  <c r="F198" i="12"/>
  <c r="BO16" i="12"/>
  <c r="BS16" i="12" s="1"/>
  <c r="E213" i="12"/>
  <c r="E199" i="12"/>
  <c r="BS19" i="12"/>
  <c r="G215" i="12"/>
  <c r="G201" i="12"/>
  <c r="BQ19" i="12"/>
  <c r="B216" i="12"/>
  <c r="B202" i="12"/>
  <c r="BO20" i="12"/>
  <c r="E203" i="12"/>
  <c r="E217" i="12"/>
  <c r="E204" i="12"/>
  <c r="U204" i="12" s="1"/>
  <c r="E218" i="12"/>
  <c r="I49" i="12"/>
  <c r="J50" i="12"/>
  <c r="E52" i="12"/>
  <c r="I57" i="12"/>
  <c r="L195" i="12"/>
  <c r="L209" i="12"/>
  <c r="BR65" i="12"/>
  <c r="BT65" i="12" s="1"/>
  <c r="P181" i="12"/>
  <c r="N196" i="12"/>
  <c r="N210" i="12"/>
  <c r="BP66" i="12"/>
  <c r="BS66" i="12" s="1"/>
  <c r="BU66" i="12" s="1"/>
  <c r="Q211" i="12"/>
  <c r="Q197" i="12"/>
  <c r="L185" i="12"/>
  <c r="BP69" i="12"/>
  <c r="BR69" i="12"/>
  <c r="P185" i="12"/>
  <c r="P189" i="12"/>
  <c r="BR73" i="12"/>
  <c r="BQ74" i="12"/>
  <c r="H108" i="12"/>
  <c r="BQ13" i="12"/>
  <c r="G181" i="12"/>
  <c r="BP13" i="12"/>
  <c r="J14" i="12"/>
  <c r="BP14" i="12"/>
  <c r="BP16" i="12"/>
  <c r="D184" i="12"/>
  <c r="BR16" i="12"/>
  <c r="BQ17" i="12"/>
  <c r="G185" i="12"/>
  <c r="BP17" i="12"/>
  <c r="J18" i="12"/>
  <c r="BP18" i="12"/>
  <c r="BP20" i="12"/>
  <c r="D188" i="12"/>
  <c r="BR20" i="12"/>
  <c r="G189" i="12"/>
  <c r="BQ21" i="12"/>
  <c r="BP21" i="12"/>
  <c r="J22" i="12"/>
  <c r="BP22" i="12"/>
  <c r="K35" i="12"/>
  <c r="L35" i="12" s="1"/>
  <c r="E48" i="12"/>
  <c r="G52" i="12"/>
  <c r="N209" i="12"/>
  <c r="N195" i="12"/>
  <c r="BO65" i="12"/>
  <c r="BQ67" i="12"/>
  <c r="J212" i="12"/>
  <c r="J198" i="12"/>
  <c r="N212" i="12"/>
  <c r="N198" i="12"/>
  <c r="J213" i="12"/>
  <c r="J199" i="12"/>
  <c r="BQ69" i="12"/>
  <c r="J201" i="12"/>
  <c r="J215" i="12"/>
  <c r="N187" i="12"/>
  <c r="BQ71" i="12"/>
  <c r="BO71" i="12"/>
  <c r="N217" i="12"/>
  <c r="N203" i="12"/>
  <c r="Q204" i="12"/>
  <c r="Q218" i="12"/>
  <c r="E106" i="12"/>
  <c r="E102" i="12"/>
  <c r="E98" i="12"/>
  <c r="J78" i="12"/>
  <c r="F106" i="12"/>
  <c r="F102" i="12"/>
  <c r="L109" i="12"/>
  <c r="K109" i="12"/>
  <c r="L105" i="12"/>
  <c r="H86" i="12"/>
  <c r="K86" i="12"/>
  <c r="L86" i="12" s="1"/>
  <c r="G99" i="12"/>
  <c r="G103" i="12"/>
  <c r="J109" i="12"/>
  <c r="L159" i="12"/>
  <c r="K159" i="12"/>
  <c r="L155" i="12"/>
  <c r="K132" i="12"/>
  <c r="G152" i="12"/>
  <c r="H160" i="12"/>
  <c r="K161" i="12"/>
  <c r="L157" i="12"/>
  <c r="K157" i="12"/>
  <c r="L153" i="12"/>
  <c r="K151" i="12"/>
  <c r="K155" i="12"/>
  <c r="L161" i="12"/>
  <c r="Y209" i="12"/>
  <c r="K182" i="12"/>
  <c r="S210" i="12"/>
  <c r="X211" i="12"/>
  <c r="G212" i="12"/>
  <c r="G198" i="12"/>
  <c r="M213" i="12"/>
  <c r="M199" i="12"/>
  <c r="T213" i="12"/>
  <c r="P214" i="12"/>
  <c r="P200" i="12"/>
  <c r="W214" i="12"/>
  <c r="S215" i="12"/>
  <c r="M188" i="12"/>
  <c r="S218" i="12"/>
  <c r="E195" i="12"/>
  <c r="B196" i="12"/>
  <c r="L198" i="12"/>
  <c r="F200" i="12"/>
  <c r="F202" i="12"/>
  <c r="V202" i="12" s="1"/>
  <c r="P211" i="12"/>
  <c r="M214" i="12"/>
  <c r="C215" i="12"/>
  <c r="J217" i="12"/>
  <c r="BO69" i="12"/>
  <c r="P218" i="12"/>
  <c r="P204" i="12"/>
  <c r="BR74" i="12"/>
  <c r="J88" i="12"/>
  <c r="I88" i="12" s="1"/>
  <c r="L98" i="12"/>
  <c r="K102" i="12"/>
  <c r="R211" i="12"/>
  <c r="R212" i="12"/>
  <c r="V212" i="12"/>
  <c r="BO120" i="12"/>
  <c r="R215" i="12"/>
  <c r="T217" i="12"/>
  <c r="BR125" i="12"/>
  <c r="F158" i="12"/>
  <c r="F154" i="12"/>
  <c r="F150" i="12"/>
  <c r="J160" i="12"/>
  <c r="J156" i="12"/>
  <c r="J152" i="12"/>
  <c r="E150" i="12"/>
  <c r="H151" i="12"/>
  <c r="E152" i="12"/>
  <c r="G155" i="12"/>
  <c r="X182" i="12"/>
  <c r="X210" i="12" s="1"/>
  <c r="K211" i="12"/>
  <c r="C198" i="12"/>
  <c r="C212" i="12"/>
  <c r="S214" i="12"/>
  <c r="X186" i="12"/>
  <c r="X214" i="12" s="1"/>
  <c r="K215" i="12"/>
  <c r="P187" i="12"/>
  <c r="C202" i="12"/>
  <c r="C216" i="12"/>
  <c r="I204" i="12"/>
  <c r="Y204" i="12" s="1"/>
  <c r="I218" i="12"/>
  <c r="W218" i="12"/>
  <c r="J202" i="12"/>
  <c r="L204" i="12"/>
  <c r="BP71" i="12"/>
  <c r="O188" i="12"/>
  <c r="BQ72" i="12"/>
  <c r="BT72" i="12" s="1"/>
  <c r="J73" i="12"/>
  <c r="F99" i="12"/>
  <c r="L102" i="12"/>
  <c r="BP118" i="12"/>
  <c r="J120" i="12"/>
  <c r="BP122" i="12"/>
  <c r="J124" i="12"/>
  <c r="T190" i="12"/>
  <c r="T218" i="12" s="1"/>
  <c r="BP126" i="12"/>
  <c r="X218" i="12"/>
  <c r="BR126" i="12"/>
  <c r="BT126" i="12" s="1"/>
  <c r="J158" i="12"/>
  <c r="J154" i="12"/>
  <c r="J150" i="12"/>
  <c r="J161" i="12"/>
  <c r="J157" i="12"/>
  <c r="J153" i="12"/>
  <c r="E154" i="12"/>
  <c r="H155" i="12"/>
  <c r="I158" i="12"/>
  <c r="Q209" i="12"/>
  <c r="I196" i="12"/>
  <c r="I210" i="12"/>
  <c r="T182" i="12"/>
  <c r="T210" i="12" s="1"/>
  <c r="W183" i="12"/>
  <c r="W211" i="12" s="1"/>
  <c r="Q199" i="12"/>
  <c r="I214" i="12"/>
  <c r="I200" i="12"/>
  <c r="T186" i="12"/>
  <c r="T214" i="12" s="1"/>
  <c r="L187" i="12"/>
  <c r="W187" i="12"/>
  <c r="W215" i="12" s="1"/>
  <c r="K197" i="12"/>
  <c r="K201" i="12"/>
  <c r="Q213" i="12"/>
  <c r="D217" i="12"/>
  <c r="D203" i="12"/>
  <c r="H203" i="12"/>
  <c r="H47" i="12"/>
  <c r="L49" i="12"/>
  <c r="H51" i="12"/>
  <c r="L53" i="12"/>
  <c r="P216" i="12"/>
  <c r="F152" i="12"/>
  <c r="F156" i="12"/>
  <c r="D95" i="9"/>
  <c r="D94" i="9"/>
  <c r="D93" i="9"/>
  <c r="I82" i="9"/>
  <c r="H82" i="9"/>
  <c r="G82" i="9"/>
  <c r="J82" i="9" s="1"/>
  <c r="D115" i="9" s="1"/>
  <c r="I81" i="9"/>
  <c r="H81" i="9"/>
  <c r="G81" i="9"/>
  <c r="J81" i="9" s="1"/>
  <c r="D114" i="9" s="1"/>
  <c r="I80" i="9"/>
  <c r="H80" i="9"/>
  <c r="G80" i="9"/>
  <c r="J80" i="9" s="1"/>
  <c r="D113" i="9" s="1"/>
  <c r="I79" i="9"/>
  <c r="H79" i="9"/>
  <c r="G79" i="9"/>
  <c r="J79" i="9" s="1"/>
  <c r="D112" i="9" s="1"/>
  <c r="I78" i="9"/>
  <c r="H78" i="9"/>
  <c r="G78" i="9"/>
  <c r="J78" i="9" s="1"/>
  <c r="D111" i="9" s="1"/>
  <c r="I77" i="9"/>
  <c r="H77" i="9"/>
  <c r="G77" i="9"/>
  <c r="J77" i="9" s="1"/>
  <c r="D110" i="9" s="1"/>
  <c r="I76" i="9"/>
  <c r="H76" i="9"/>
  <c r="G76" i="9"/>
  <c r="J76" i="9" s="1"/>
  <c r="D109" i="9" s="1"/>
  <c r="I75" i="9"/>
  <c r="H75" i="9"/>
  <c r="G75" i="9"/>
  <c r="J75" i="9" s="1"/>
  <c r="D108" i="9" s="1"/>
  <c r="I74" i="9"/>
  <c r="H74" i="9"/>
  <c r="G74" i="9"/>
  <c r="I73" i="9"/>
  <c r="H73" i="9"/>
  <c r="G73" i="9"/>
  <c r="J73" i="9" s="1"/>
  <c r="D106" i="9" s="1"/>
  <c r="G50" i="9"/>
  <c r="I52" i="9"/>
  <c r="H52" i="9"/>
  <c r="G52" i="9"/>
  <c r="J52" i="9" s="1"/>
  <c r="C115" i="9" s="1"/>
  <c r="I51" i="9"/>
  <c r="H51" i="9"/>
  <c r="G51" i="9"/>
  <c r="I50" i="9"/>
  <c r="H50" i="9"/>
  <c r="I49" i="9"/>
  <c r="H49" i="9"/>
  <c r="G49" i="9"/>
  <c r="J49" i="9" s="1"/>
  <c r="C112" i="9" s="1"/>
  <c r="I48" i="9"/>
  <c r="H48" i="9"/>
  <c r="G48" i="9"/>
  <c r="J48" i="9" s="1"/>
  <c r="C111" i="9" s="1"/>
  <c r="I47" i="9"/>
  <c r="H47" i="9"/>
  <c r="G47" i="9"/>
  <c r="J47" i="9" s="1"/>
  <c r="C110" i="9" s="1"/>
  <c r="I46" i="9"/>
  <c r="H46" i="9"/>
  <c r="G46" i="9"/>
  <c r="J46" i="9" s="1"/>
  <c r="C109" i="9" s="1"/>
  <c r="I45" i="9"/>
  <c r="H45" i="9"/>
  <c r="G45" i="9"/>
  <c r="J45" i="9" s="1"/>
  <c r="C108" i="9" s="1"/>
  <c r="I44" i="9"/>
  <c r="H44" i="9"/>
  <c r="G44" i="9"/>
  <c r="J44" i="9" s="1"/>
  <c r="C107" i="9" s="1"/>
  <c r="I43" i="9"/>
  <c r="H43" i="9"/>
  <c r="G43" i="9"/>
  <c r="J43" i="9" s="1"/>
  <c r="C106" i="9" s="1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B329" i="23" l="1"/>
  <c r="B328" i="23"/>
  <c r="B325" i="23"/>
  <c r="AI306" i="23"/>
  <c r="B334" i="23"/>
  <c r="AI305" i="23"/>
  <c r="B333" i="23"/>
  <c r="AK304" i="23"/>
  <c r="AM304" i="23" s="1"/>
  <c r="AK301" i="23"/>
  <c r="AM301" i="23" s="1"/>
  <c r="J50" i="9"/>
  <c r="C113" i="9" s="1"/>
  <c r="J51" i="9"/>
  <c r="C114" i="9" s="1"/>
  <c r="BS73" i="12"/>
  <c r="BT73" i="12"/>
  <c r="BS120" i="12"/>
  <c r="M209" i="12"/>
  <c r="L218" i="12"/>
  <c r="Q217" i="12"/>
  <c r="N214" i="12"/>
  <c r="Q216" i="12"/>
  <c r="AG216" i="12" s="1"/>
  <c r="J216" i="12"/>
  <c r="O214" i="12"/>
  <c r="O210" i="12"/>
  <c r="J209" i="12"/>
  <c r="O213" i="12"/>
  <c r="J210" i="12"/>
  <c r="K209" i="12"/>
  <c r="O201" i="12"/>
  <c r="W201" i="12" s="1"/>
  <c r="M195" i="12"/>
  <c r="K195" i="12"/>
  <c r="J196" i="12"/>
  <c r="O199" i="12"/>
  <c r="O200" i="12"/>
  <c r="O197" i="12"/>
  <c r="I103" i="12"/>
  <c r="I99" i="12"/>
  <c r="J103" i="12"/>
  <c r="J99" i="12"/>
  <c r="I28" i="12"/>
  <c r="J56" i="12"/>
  <c r="J48" i="12"/>
  <c r="J52" i="12"/>
  <c r="V209" i="12"/>
  <c r="W210" i="12"/>
  <c r="Y210" i="12"/>
  <c r="V211" i="12"/>
  <c r="Y211" i="12"/>
  <c r="S212" i="12"/>
  <c r="R213" i="12"/>
  <c r="V213" i="12"/>
  <c r="Y214" i="12"/>
  <c r="AG214" i="12" s="1"/>
  <c r="V215" i="12"/>
  <c r="U216" i="12"/>
  <c r="V216" i="12"/>
  <c r="U217" i="12"/>
  <c r="R209" i="12"/>
  <c r="U209" i="12"/>
  <c r="W209" i="12"/>
  <c r="R210" i="12"/>
  <c r="U213" i="12"/>
  <c r="AC213" i="12" s="1"/>
  <c r="W213" i="12"/>
  <c r="Y213" i="12"/>
  <c r="R214" i="12"/>
  <c r="U214" i="12"/>
  <c r="Y215" i="12"/>
  <c r="R216" i="12"/>
  <c r="Z216" i="12" s="1"/>
  <c r="W216" i="12"/>
  <c r="R217" i="12"/>
  <c r="W217" i="12"/>
  <c r="Y217" i="12"/>
  <c r="AG217" i="12" s="1"/>
  <c r="R218" i="12"/>
  <c r="U218" i="12"/>
  <c r="Y218" i="12"/>
  <c r="U210" i="12"/>
  <c r="AC210" i="12" s="1"/>
  <c r="T211" i="12"/>
  <c r="U212" i="12"/>
  <c r="T215" i="12"/>
  <c r="X215" i="12"/>
  <c r="V217" i="12"/>
  <c r="X217" i="12"/>
  <c r="E209" i="12"/>
  <c r="AC209" i="12" s="1"/>
  <c r="B210" i="12"/>
  <c r="Z210" i="12" s="1"/>
  <c r="G210" i="12"/>
  <c r="AE210" i="12" s="1"/>
  <c r="E211" i="12"/>
  <c r="AC211" i="12" s="1"/>
  <c r="G211" i="12"/>
  <c r="AE211" i="12" s="1"/>
  <c r="B212" i="12"/>
  <c r="Z212" i="12" s="1"/>
  <c r="I212" i="12"/>
  <c r="AG212" i="12" s="1"/>
  <c r="B213" i="12"/>
  <c r="Z213" i="12" s="1"/>
  <c r="D214" i="12"/>
  <c r="AB214" i="12" s="1"/>
  <c r="F214" i="12"/>
  <c r="AD214" i="12" s="1"/>
  <c r="E215" i="12"/>
  <c r="AC215" i="12" s="1"/>
  <c r="F216" i="12"/>
  <c r="AD216" i="12" s="1"/>
  <c r="F217" i="12"/>
  <c r="AD217" i="12" s="1"/>
  <c r="C209" i="12"/>
  <c r="AA209" i="12" s="1"/>
  <c r="I209" i="12"/>
  <c r="AG209" i="12" s="1"/>
  <c r="G216" i="12"/>
  <c r="C176" i="12"/>
  <c r="M196" i="12"/>
  <c r="U196" i="12" s="1"/>
  <c r="P202" i="12"/>
  <c r="Q195" i="12"/>
  <c r="Y195" i="12" s="1"/>
  <c r="L196" i="12"/>
  <c r="T196" i="12" s="1"/>
  <c r="P197" i="12"/>
  <c r="X197" i="12" s="1"/>
  <c r="M200" i="12"/>
  <c r="U200" i="12" s="1"/>
  <c r="AA200" i="12" s="1"/>
  <c r="B197" i="12"/>
  <c r="R197" i="12" s="1"/>
  <c r="C168" i="12"/>
  <c r="I150" i="12"/>
  <c r="I154" i="12"/>
  <c r="K47" i="12"/>
  <c r="K51" i="12"/>
  <c r="K55" i="12"/>
  <c r="I47" i="12"/>
  <c r="J47" i="12"/>
  <c r="I55" i="12"/>
  <c r="J55" i="12"/>
  <c r="J51" i="12"/>
  <c r="I50" i="12"/>
  <c r="J54" i="12"/>
  <c r="W212" i="12"/>
  <c r="X213" i="12"/>
  <c r="S216" i="12"/>
  <c r="AA216" i="12" s="1"/>
  <c r="AH216" i="12" s="1"/>
  <c r="V218" i="12"/>
  <c r="BS117" i="12"/>
  <c r="BU117" i="12" s="1"/>
  <c r="BT70" i="12"/>
  <c r="BU70" i="12" s="1"/>
  <c r="BS68" i="12"/>
  <c r="BU68" i="12" s="1"/>
  <c r="BS72" i="12"/>
  <c r="BU72" i="12" s="1"/>
  <c r="BT20" i="12"/>
  <c r="BS21" i="12"/>
  <c r="BS67" i="12"/>
  <c r="BT13" i="12"/>
  <c r="BT17" i="12"/>
  <c r="BT21" i="12"/>
  <c r="BS65" i="12"/>
  <c r="BT69" i="12"/>
  <c r="U195" i="12"/>
  <c r="V200" i="12"/>
  <c r="G218" i="12"/>
  <c r="AE218" i="12" s="1"/>
  <c r="B211" i="12"/>
  <c r="I211" i="12"/>
  <c r="AG211" i="12" s="1"/>
  <c r="B218" i="12"/>
  <c r="B217" i="12"/>
  <c r="C213" i="12"/>
  <c r="H215" i="12"/>
  <c r="F211" i="12"/>
  <c r="E212" i="12"/>
  <c r="C218" i="12"/>
  <c r="I213" i="12"/>
  <c r="AG213" i="12" s="1"/>
  <c r="I215" i="12"/>
  <c r="AG215" i="12" s="1"/>
  <c r="F210" i="12"/>
  <c r="AD210" i="12" s="1"/>
  <c r="AJ210" i="12" s="1"/>
  <c r="B214" i="12"/>
  <c r="Z214" i="12" s="1"/>
  <c r="E216" i="12"/>
  <c r="G214" i="12"/>
  <c r="C217" i="12"/>
  <c r="B209" i="12"/>
  <c r="Z209" i="12" s="1"/>
  <c r="F213" i="12"/>
  <c r="AD213" i="12" s="1"/>
  <c r="F218" i="12"/>
  <c r="AD218" i="12" s="1"/>
  <c r="F209" i="12"/>
  <c r="AD209" i="12" s="1"/>
  <c r="D211" i="12"/>
  <c r="C210" i="12"/>
  <c r="H212" i="12"/>
  <c r="AF212" i="12" s="1"/>
  <c r="AK212" i="12" s="1"/>
  <c r="C214" i="12"/>
  <c r="H216" i="12"/>
  <c r="C203" i="12"/>
  <c r="S203" i="12" s="1"/>
  <c r="G204" i="12"/>
  <c r="D197" i="12"/>
  <c r="C199" i="12"/>
  <c r="S199" i="12" s="1"/>
  <c r="G200" i="12"/>
  <c r="F204" i="12"/>
  <c r="V204" i="12" s="1"/>
  <c r="F197" i="12"/>
  <c r="B199" i="12"/>
  <c r="R199" i="12" s="1"/>
  <c r="E201" i="12"/>
  <c r="U201" i="12" s="1"/>
  <c r="B195" i="12"/>
  <c r="R195" i="12" s="1"/>
  <c r="F195" i="12"/>
  <c r="I199" i="12"/>
  <c r="Y199" i="12" s="1"/>
  <c r="F199" i="12"/>
  <c r="V199" i="12" s="1"/>
  <c r="B200" i="12"/>
  <c r="R200" i="12" s="1"/>
  <c r="B203" i="12"/>
  <c r="R203" i="12" s="1"/>
  <c r="B204" i="12"/>
  <c r="R204" i="12" s="1"/>
  <c r="I197" i="12"/>
  <c r="Y197" i="12" s="1"/>
  <c r="G202" i="12"/>
  <c r="G197" i="12"/>
  <c r="W197" i="12" s="1"/>
  <c r="H201" i="12"/>
  <c r="C196" i="12"/>
  <c r="S196" i="12" s="1"/>
  <c r="Z196" i="12" s="1"/>
  <c r="E198" i="12"/>
  <c r="U198" i="12" s="1"/>
  <c r="H198" i="12"/>
  <c r="X198" i="12" s="1"/>
  <c r="I201" i="12"/>
  <c r="C200" i="12"/>
  <c r="E202" i="12"/>
  <c r="H202" i="12"/>
  <c r="F196" i="12"/>
  <c r="V196" i="12" s="1"/>
  <c r="AB196" i="12" s="1"/>
  <c r="C204" i="12"/>
  <c r="J107" i="12"/>
  <c r="I107" i="12"/>
  <c r="K52" i="12"/>
  <c r="L56" i="12"/>
  <c r="L48" i="12"/>
  <c r="K48" i="12"/>
  <c r="L52" i="12"/>
  <c r="K56" i="12"/>
  <c r="L27" i="12"/>
  <c r="I46" i="12"/>
  <c r="I54" i="12"/>
  <c r="J46" i="12"/>
  <c r="H213" i="12"/>
  <c r="H199" i="12"/>
  <c r="H209" i="12"/>
  <c r="H195" i="12"/>
  <c r="C269" i="24"/>
  <c r="AK302" i="23"/>
  <c r="AK306" i="23"/>
  <c r="AK300" i="23"/>
  <c r="AM300" i="23" s="1"/>
  <c r="B343" i="23"/>
  <c r="AI302" i="23"/>
  <c r="AL302" i="23" s="1"/>
  <c r="H259" i="24"/>
  <c r="C257" i="24"/>
  <c r="B257" i="24"/>
  <c r="B270" i="24" s="1"/>
  <c r="D257" i="24"/>
  <c r="C263" i="24"/>
  <c r="C276" i="24" s="1"/>
  <c r="G254" i="24"/>
  <c r="D260" i="24"/>
  <c r="D273" i="24" s="1"/>
  <c r="H257" i="24"/>
  <c r="C261" i="24"/>
  <c r="I255" i="24"/>
  <c r="D262" i="24"/>
  <c r="H262" i="24"/>
  <c r="G255" i="24"/>
  <c r="C259" i="24"/>
  <c r="C272" i="24" s="1"/>
  <c r="B263" i="24"/>
  <c r="H258" i="24"/>
  <c r="G256" i="24"/>
  <c r="I256" i="24"/>
  <c r="D256" i="24"/>
  <c r="H261" i="24"/>
  <c r="D261" i="24"/>
  <c r="G261" i="24"/>
  <c r="I257" i="24"/>
  <c r="C260" i="24"/>
  <c r="B259" i="24"/>
  <c r="B272" i="24" s="1"/>
  <c r="B255" i="24"/>
  <c r="I262" i="24"/>
  <c r="H260" i="24"/>
  <c r="G258" i="24"/>
  <c r="B254" i="24"/>
  <c r="B267" i="24" s="1"/>
  <c r="D259" i="24"/>
  <c r="D254" i="24"/>
  <c r="B261" i="24"/>
  <c r="B274" i="24" s="1"/>
  <c r="D263" i="24"/>
  <c r="C254" i="24"/>
  <c r="I258" i="24"/>
  <c r="D271" i="24" s="1"/>
  <c r="B258" i="24"/>
  <c r="B271" i="24" s="1"/>
  <c r="G263" i="24"/>
  <c r="B262" i="24"/>
  <c r="B256" i="24"/>
  <c r="I254" i="24"/>
  <c r="I263" i="24"/>
  <c r="I259" i="24"/>
  <c r="H255" i="24"/>
  <c r="I261" i="24"/>
  <c r="B260" i="24"/>
  <c r="C258" i="24"/>
  <c r="H254" i="24"/>
  <c r="D255" i="24"/>
  <c r="D268" i="24" s="1"/>
  <c r="G260" i="24"/>
  <c r="C255" i="24"/>
  <c r="C262" i="24"/>
  <c r="G262" i="24"/>
  <c r="AJ301" i="23"/>
  <c r="AI297" i="23"/>
  <c r="AL297" i="23" s="1"/>
  <c r="B342" i="23"/>
  <c r="AI301" i="23"/>
  <c r="AH300" i="23"/>
  <c r="AL298" i="23"/>
  <c r="AH305" i="23"/>
  <c r="AM297" i="23"/>
  <c r="AK303" i="23"/>
  <c r="AM303" i="23" s="1"/>
  <c r="AI304" i="23"/>
  <c r="AL304" i="23" s="1"/>
  <c r="AK305" i="23"/>
  <c r="AL303" i="23"/>
  <c r="B341" i="23"/>
  <c r="AI300" i="23"/>
  <c r="AM298" i="23"/>
  <c r="AJ305" i="23"/>
  <c r="B345" i="23"/>
  <c r="AK299" i="23"/>
  <c r="AM299" i="23" s="1"/>
  <c r="B347" i="23"/>
  <c r="AH306" i="23"/>
  <c r="AM306" i="23"/>
  <c r="AM302" i="23"/>
  <c r="AL299" i="23"/>
  <c r="AL301" i="23"/>
  <c r="BU16" i="22"/>
  <c r="BU75" i="22"/>
  <c r="BU72" i="22"/>
  <c r="BU15" i="22"/>
  <c r="BU126" i="22"/>
  <c r="BU17" i="22"/>
  <c r="BU66" i="22"/>
  <c r="BU121" i="22"/>
  <c r="L48" i="22"/>
  <c r="BU122" i="22"/>
  <c r="BU18" i="22"/>
  <c r="BU23" i="22"/>
  <c r="BU22" i="22"/>
  <c r="L52" i="22"/>
  <c r="BU21" i="22"/>
  <c r="BU127" i="22"/>
  <c r="BU123" i="22"/>
  <c r="B367" i="22"/>
  <c r="C372" i="22"/>
  <c r="BU68" i="22"/>
  <c r="BU118" i="22"/>
  <c r="BU73" i="22"/>
  <c r="BU70" i="22"/>
  <c r="BU14" i="22"/>
  <c r="BU69" i="22"/>
  <c r="BU125" i="22"/>
  <c r="C366" i="22"/>
  <c r="B370" i="22"/>
  <c r="BU19" i="22"/>
  <c r="C365" i="22"/>
  <c r="BU67" i="22"/>
  <c r="D368" i="22"/>
  <c r="C373" i="22"/>
  <c r="BU20" i="22"/>
  <c r="B365" i="22"/>
  <c r="D365" i="22"/>
  <c r="BU119" i="22"/>
  <c r="L160" i="22"/>
  <c r="B371" i="22"/>
  <c r="C364" i="22"/>
  <c r="D373" i="22"/>
  <c r="B373" i="22"/>
  <c r="BU71" i="22"/>
  <c r="BU120" i="22"/>
  <c r="B366" i="22"/>
  <c r="C370" i="22"/>
  <c r="D369" i="22"/>
  <c r="D366" i="22"/>
  <c r="I57" i="22"/>
  <c r="I53" i="22"/>
  <c r="I49" i="22"/>
  <c r="I161" i="22"/>
  <c r="I157" i="22"/>
  <c r="I153" i="22"/>
  <c r="C367" i="22"/>
  <c r="C371" i="22"/>
  <c r="L152" i="22"/>
  <c r="B372" i="22"/>
  <c r="B368" i="22"/>
  <c r="C368" i="22"/>
  <c r="B369" i="22"/>
  <c r="D370" i="22"/>
  <c r="C369" i="22"/>
  <c r="B364" i="22"/>
  <c r="D364" i="22"/>
  <c r="BU124" i="22"/>
  <c r="D372" i="22"/>
  <c r="D367" i="22"/>
  <c r="D371" i="22"/>
  <c r="D197" i="21"/>
  <c r="D238" i="21" s="1"/>
  <c r="C190" i="21"/>
  <c r="C231" i="21" s="1"/>
  <c r="D186" i="21"/>
  <c r="D227" i="21" s="1"/>
  <c r="D196" i="21"/>
  <c r="D237" i="21" s="1"/>
  <c r="D198" i="21"/>
  <c r="D239" i="21" s="1"/>
  <c r="D189" i="21"/>
  <c r="D230" i="21" s="1"/>
  <c r="C176" i="21"/>
  <c r="C217" i="21" s="1"/>
  <c r="C198" i="21"/>
  <c r="C239" i="21" s="1"/>
  <c r="C200" i="21"/>
  <c r="C241" i="21" s="1"/>
  <c r="B197" i="21"/>
  <c r="B238" i="21" s="1"/>
  <c r="B196" i="21"/>
  <c r="B237" i="21" s="1"/>
  <c r="B188" i="21"/>
  <c r="B229" i="21" s="1"/>
  <c r="D190" i="21"/>
  <c r="D231" i="21" s="1"/>
  <c r="C189" i="21"/>
  <c r="C230" i="21" s="1"/>
  <c r="C188" i="21"/>
  <c r="C229" i="21" s="1"/>
  <c r="D188" i="21"/>
  <c r="D229" i="21" s="1"/>
  <c r="C197" i="21"/>
  <c r="C238" i="21" s="1"/>
  <c r="C196" i="21"/>
  <c r="C237" i="21" s="1"/>
  <c r="B198" i="21"/>
  <c r="B239" i="21" s="1"/>
  <c r="B190" i="21"/>
  <c r="B231" i="21" s="1"/>
  <c r="B189" i="21"/>
  <c r="B230" i="21" s="1"/>
  <c r="B124" i="21"/>
  <c r="C145" i="21"/>
  <c r="B141" i="21"/>
  <c r="B136" i="21"/>
  <c r="D133" i="21"/>
  <c r="D124" i="21"/>
  <c r="B135" i="21"/>
  <c r="C161" i="21"/>
  <c r="D159" i="21"/>
  <c r="C141" i="21"/>
  <c r="B159" i="21"/>
  <c r="B132" i="21"/>
  <c r="C132" i="21"/>
  <c r="D132" i="21"/>
  <c r="B153" i="21"/>
  <c r="C153" i="21"/>
  <c r="D153" i="21"/>
  <c r="C123" i="21"/>
  <c r="B123" i="21"/>
  <c r="D123" i="21"/>
  <c r="B152" i="21"/>
  <c r="D152" i="21"/>
  <c r="C152" i="21"/>
  <c r="B137" i="21"/>
  <c r="C137" i="21"/>
  <c r="D137" i="21"/>
  <c r="D129" i="21"/>
  <c r="C129" i="21"/>
  <c r="B129" i="21"/>
  <c r="D135" i="21"/>
  <c r="D161" i="21"/>
  <c r="D127" i="21"/>
  <c r="C124" i="21"/>
  <c r="D140" i="21"/>
  <c r="C140" i="21"/>
  <c r="B140" i="21"/>
  <c r="B143" i="21"/>
  <c r="C143" i="21"/>
  <c r="D143" i="21"/>
  <c r="C144" i="21"/>
  <c r="B144" i="21"/>
  <c r="D144" i="21"/>
  <c r="B131" i="21"/>
  <c r="D131" i="21"/>
  <c r="C131" i="21"/>
  <c r="C128" i="21"/>
  <c r="B128" i="21"/>
  <c r="D128" i="21"/>
  <c r="D151" i="21"/>
  <c r="C151" i="21"/>
  <c r="B151" i="21"/>
  <c r="D141" i="21"/>
  <c r="B133" i="21"/>
  <c r="C127" i="21"/>
  <c r="C136" i="21"/>
  <c r="B125" i="21"/>
  <c r="D125" i="21"/>
  <c r="C125" i="21"/>
  <c r="C139" i="21"/>
  <c r="B139" i="21"/>
  <c r="D139" i="21"/>
  <c r="C160" i="21"/>
  <c r="D160" i="21"/>
  <c r="B160" i="21"/>
  <c r="B161" i="21"/>
  <c r="C133" i="21"/>
  <c r="B145" i="21"/>
  <c r="B127" i="21"/>
  <c r="D136" i="21"/>
  <c r="B115" i="19"/>
  <c r="B136" i="19"/>
  <c r="C113" i="19"/>
  <c r="C121" i="19"/>
  <c r="B118" i="19"/>
  <c r="B120" i="19"/>
  <c r="B122" i="19"/>
  <c r="C114" i="19"/>
  <c r="C122" i="19"/>
  <c r="B119" i="19"/>
  <c r="D121" i="19"/>
  <c r="D115" i="19"/>
  <c r="D114" i="19"/>
  <c r="D113" i="19"/>
  <c r="D116" i="19"/>
  <c r="B116" i="19"/>
  <c r="D119" i="19"/>
  <c r="D118" i="19"/>
  <c r="D117" i="19"/>
  <c r="D120" i="19"/>
  <c r="C119" i="19"/>
  <c r="C117" i="19"/>
  <c r="C116" i="19"/>
  <c r="C115" i="19"/>
  <c r="C118" i="19"/>
  <c r="B113" i="19"/>
  <c r="B117" i="19"/>
  <c r="C120" i="19"/>
  <c r="B121" i="19"/>
  <c r="B114" i="19"/>
  <c r="D122" i="19"/>
  <c r="B142" i="14"/>
  <c r="B141" i="14"/>
  <c r="C141" i="14"/>
  <c r="B146" i="14"/>
  <c r="B145" i="14"/>
  <c r="C145" i="14"/>
  <c r="B147" i="14"/>
  <c r="D145" i="14"/>
  <c r="D118" i="14"/>
  <c r="D119" i="14"/>
  <c r="C119" i="14"/>
  <c r="D110" i="14"/>
  <c r="D111" i="14"/>
  <c r="C111" i="14"/>
  <c r="B111" i="14"/>
  <c r="B126" i="14"/>
  <c r="B125" i="14"/>
  <c r="C125" i="14"/>
  <c r="B115" i="14"/>
  <c r="D113" i="14"/>
  <c r="D114" i="14"/>
  <c r="D115" i="14"/>
  <c r="C115" i="14"/>
  <c r="B129" i="14"/>
  <c r="C129" i="14"/>
  <c r="B130" i="14"/>
  <c r="C117" i="14"/>
  <c r="B119" i="14"/>
  <c r="D153" i="14" s="1"/>
  <c r="D117" i="14"/>
  <c r="B118" i="14"/>
  <c r="B117" i="14"/>
  <c r="B139" i="14"/>
  <c r="D139" i="14"/>
  <c r="D137" i="14"/>
  <c r="C139" i="14"/>
  <c r="D138" i="14"/>
  <c r="C127" i="14"/>
  <c r="D125" i="14"/>
  <c r="B127" i="14"/>
  <c r="D126" i="14"/>
  <c r="D127" i="14"/>
  <c r="C133" i="14"/>
  <c r="B134" i="14"/>
  <c r="B133" i="14"/>
  <c r="B109" i="14"/>
  <c r="C138" i="14"/>
  <c r="B138" i="14"/>
  <c r="C137" i="14"/>
  <c r="C113" i="14"/>
  <c r="B113" i="14"/>
  <c r="B114" i="14"/>
  <c r="D122" i="14"/>
  <c r="D123" i="14"/>
  <c r="C123" i="14"/>
  <c r="D121" i="14"/>
  <c r="B123" i="14"/>
  <c r="C131" i="14"/>
  <c r="D129" i="14"/>
  <c r="B131" i="14"/>
  <c r="D130" i="14"/>
  <c r="D131" i="14"/>
  <c r="D141" i="14"/>
  <c r="C143" i="14"/>
  <c r="D142" i="14"/>
  <c r="B143" i="14"/>
  <c r="D143" i="14"/>
  <c r="C147" i="14"/>
  <c r="D146" i="14"/>
  <c r="D147" i="14"/>
  <c r="D134" i="14"/>
  <c r="B135" i="14"/>
  <c r="D135" i="14"/>
  <c r="C135" i="14"/>
  <c r="D133" i="14"/>
  <c r="C109" i="14"/>
  <c r="B151" i="14" s="1"/>
  <c r="C110" i="14"/>
  <c r="B110" i="14"/>
  <c r="B122" i="14"/>
  <c r="B121" i="14"/>
  <c r="C121" i="14"/>
  <c r="E104" i="14"/>
  <c r="BU123" i="12"/>
  <c r="AE215" i="12"/>
  <c r="BS22" i="12"/>
  <c r="BU22" i="12" s="1"/>
  <c r="BT71" i="12"/>
  <c r="K202" i="12"/>
  <c r="S202" i="12" s="1"/>
  <c r="R196" i="12"/>
  <c r="BS74" i="12"/>
  <c r="BU73" i="12"/>
  <c r="AC217" i="12"/>
  <c r="P196" i="12"/>
  <c r="Y196" i="12"/>
  <c r="T195" i="12"/>
  <c r="AA215" i="12"/>
  <c r="G217" i="12"/>
  <c r="AE217" i="12" s="1"/>
  <c r="AJ217" i="12" s="1"/>
  <c r="G203" i="12"/>
  <c r="W203" i="12" s="1"/>
  <c r="D202" i="12"/>
  <c r="T202" i="12" s="1"/>
  <c r="D216" i="12"/>
  <c r="AB216" i="12" s="1"/>
  <c r="G213" i="12"/>
  <c r="AE213" i="12" s="1"/>
  <c r="G199" i="12"/>
  <c r="W199" i="12" s="1"/>
  <c r="G209" i="12"/>
  <c r="G195" i="12"/>
  <c r="L199" i="12"/>
  <c r="T199" i="12" s="1"/>
  <c r="L213" i="12"/>
  <c r="R202" i="12"/>
  <c r="R198" i="12"/>
  <c r="AB213" i="12"/>
  <c r="AI213" i="12" s="1"/>
  <c r="BT125" i="12"/>
  <c r="J108" i="12"/>
  <c r="I80" i="12"/>
  <c r="J104" i="12"/>
  <c r="J100" i="12"/>
  <c r="Z215" i="12"/>
  <c r="C211" i="12"/>
  <c r="AA211" i="12" s="1"/>
  <c r="C197" i="12"/>
  <c r="S197" i="12" s="1"/>
  <c r="K108" i="12"/>
  <c r="L104" i="12"/>
  <c r="K104" i="12"/>
  <c r="L100" i="12"/>
  <c r="K100" i="12"/>
  <c r="L108" i="12"/>
  <c r="L203" i="12"/>
  <c r="T203" i="12" s="1"/>
  <c r="L217" i="12"/>
  <c r="BU124" i="12"/>
  <c r="L215" i="12"/>
  <c r="AB215" i="12" s="1"/>
  <c r="AI215" i="12" s="1"/>
  <c r="L201" i="12"/>
  <c r="BU120" i="12"/>
  <c r="N201" i="12"/>
  <c r="V201" i="12" s="1"/>
  <c r="AB201" i="12" s="1"/>
  <c r="N215" i="12"/>
  <c r="P203" i="12"/>
  <c r="X203" i="12" s="1"/>
  <c r="AC203" i="12" s="1"/>
  <c r="P217" i="12"/>
  <c r="AB210" i="12"/>
  <c r="D212" i="12"/>
  <c r="AB212" i="12" s="1"/>
  <c r="D198" i="12"/>
  <c r="T198" i="12" s="1"/>
  <c r="AF211" i="12"/>
  <c r="J159" i="12"/>
  <c r="J155" i="12"/>
  <c r="J151" i="12"/>
  <c r="I151" i="12"/>
  <c r="I159" i="12"/>
  <c r="I155" i="12"/>
  <c r="L211" i="12"/>
  <c r="L197" i="12"/>
  <c r="H218" i="12"/>
  <c r="AF218" i="12" s="1"/>
  <c r="H204" i="12"/>
  <c r="X204" i="12" s="1"/>
  <c r="AC204" i="12" s="1"/>
  <c r="Y198" i="12"/>
  <c r="Y200" i="12"/>
  <c r="O202" i="12"/>
  <c r="O216" i="12"/>
  <c r="AE216" i="12" s="1"/>
  <c r="AJ216" i="12" s="1"/>
  <c r="BS69" i="12"/>
  <c r="M202" i="12"/>
  <c r="M216" i="12"/>
  <c r="K210" i="12"/>
  <c r="K196" i="12"/>
  <c r="K156" i="12"/>
  <c r="L152" i="12"/>
  <c r="K152" i="12"/>
  <c r="K160" i="12"/>
  <c r="L160" i="12"/>
  <c r="L156" i="12"/>
  <c r="BS71" i="12"/>
  <c r="BU71" i="12" s="1"/>
  <c r="BT67" i="12"/>
  <c r="BT74" i="12"/>
  <c r="BU74" i="12" s="1"/>
  <c r="P213" i="12"/>
  <c r="AF213" i="12" s="1"/>
  <c r="P199" i="12"/>
  <c r="U203" i="12"/>
  <c r="V198" i="12"/>
  <c r="BU15" i="12"/>
  <c r="V203" i="12"/>
  <c r="S201" i="12"/>
  <c r="Z201" i="12" s="1"/>
  <c r="O198" i="12"/>
  <c r="W198" i="12" s="1"/>
  <c r="AB198" i="12" s="1"/>
  <c r="O212" i="12"/>
  <c r="T204" i="12"/>
  <c r="AA204" i="12" s="1"/>
  <c r="H214" i="12"/>
  <c r="AF214" i="12" s="1"/>
  <c r="AK214" i="12" s="1"/>
  <c r="H200" i="12"/>
  <c r="X200" i="12" s="1"/>
  <c r="O209" i="12"/>
  <c r="O195" i="12"/>
  <c r="BS126" i="12"/>
  <c r="BU126" i="12" s="1"/>
  <c r="BS122" i="12"/>
  <c r="BU122" i="12" s="1"/>
  <c r="BS18" i="12"/>
  <c r="BU18" i="12" s="1"/>
  <c r="BS17" i="12"/>
  <c r="BU17" i="12" s="1"/>
  <c r="BT16" i="12"/>
  <c r="BU16" i="12" s="1"/>
  <c r="BS13" i="12"/>
  <c r="BU13" i="12" s="1"/>
  <c r="K204" i="12"/>
  <c r="K218" i="12"/>
  <c r="AA218" i="12" s="1"/>
  <c r="AD211" i="12"/>
  <c r="AJ211" i="12" s="1"/>
  <c r="AA213" i="12"/>
  <c r="AH213" i="12" s="1"/>
  <c r="AL213" i="12" s="1"/>
  <c r="AA217" i="12"/>
  <c r="I52" i="12"/>
  <c r="I56" i="12"/>
  <c r="I48" i="12"/>
  <c r="E108" i="12"/>
  <c r="E104" i="12"/>
  <c r="E100" i="12"/>
  <c r="H196" i="12"/>
  <c r="X196" i="12" s="1"/>
  <c r="H210" i="12"/>
  <c r="AF210" i="12" s="1"/>
  <c r="W200" i="12"/>
  <c r="AB200" i="12" s="1"/>
  <c r="T197" i="12"/>
  <c r="AA197" i="12" s="1"/>
  <c r="I106" i="12"/>
  <c r="I102" i="12"/>
  <c r="I98" i="12"/>
  <c r="J106" i="12"/>
  <c r="J102" i="12"/>
  <c r="J98" i="12"/>
  <c r="AB217" i="12"/>
  <c r="AG210" i="12"/>
  <c r="AG218" i="12"/>
  <c r="P201" i="12"/>
  <c r="P215" i="12"/>
  <c r="AF215" i="12" s="1"/>
  <c r="AE212" i="12"/>
  <c r="BU65" i="12"/>
  <c r="AF216" i="12"/>
  <c r="AK216" i="12" s="1"/>
  <c r="Z211" i="12"/>
  <c r="P195" i="12"/>
  <c r="X195" i="12" s="1"/>
  <c r="AC195" i="12" s="1"/>
  <c r="P209" i="12"/>
  <c r="AF209" i="12" s="1"/>
  <c r="AC218" i="12"/>
  <c r="BS20" i="12"/>
  <c r="BU20" i="12" s="1"/>
  <c r="BT19" i="12"/>
  <c r="BU19" i="12" s="1"/>
  <c r="U199" i="12"/>
  <c r="AD212" i="12"/>
  <c r="T201" i="12"/>
  <c r="AA201" i="12" s="1"/>
  <c r="K198" i="12"/>
  <c r="S198" i="12" s="1"/>
  <c r="Z198" i="12" s="1"/>
  <c r="K212" i="12"/>
  <c r="AA212" i="12" s="1"/>
  <c r="AH212" i="12" s="1"/>
  <c r="BU125" i="12"/>
  <c r="AB218" i="12"/>
  <c r="AA196" i="12"/>
  <c r="S195" i="12"/>
  <c r="Z195" i="12" s="1"/>
  <c r="AC214" i="12"/>
  <c r="AB209" i="12"/>
  <c r="AI209" i="12" s="1"/>
  <c r="BS118" i="12"/>
  <c r="BU118" i="12" s="1"/>
  <c r="K99" i="12"/>
  <c r="L79" i="12"/>
  <c r="L107" i="12" s="1"/>
  <c r="K107" i="12"/>
  <c r="L103" i="12"/>
  <c r="L99" i="12"/>
  <c r="K103" i="12"/>
  <c r="Z218" i="12"/>
  <c r="Z217" i="12"/>
  <c r="BS14" i="12"/>
  <c r="BU14" i="12" s="1"/>
  <c r="V195" i="12"/>
  <c r="K200" i="12"/>
  <c r="S200" i="12" s="1"/>
  <c r="K214" i="12"/>
  <c r="AA214" i="12" s="1"/>
  <c r="V197" i="12"/>
  <c r="AB197" i="12" s="1"/>
  <c r="AE214" i="12"/>
  <c r="AJ214" i="12" s="1"/>
  <c r="AB211" i="12"/>
  <c r="AI211" i="12" s="1"/>
  <c r="W204" i="12"/>
  <c r="AB204" i="12" s="1"/>
  <c r="AE204" i="12" s="1"/>
  <c r="AC216" i="12"/>
  <c r="Y201" i="12"/>
  <c r="AC212" i="12"/>
  <c r="J15" i="9"/>
  <c r="B108" i="9" s="1"/>
  <c r="J74" i="9"/>
  <c r="D107" i="9" s="1"/>
  <c r="J14" i="9"/>
  <c r="B107" i="9" s="1"/>
  <c r="J22" i="9"/>
  <c r="B115" i="9" s="1"/>
  <c r="J21" i="9"/>
  <c r="B114" i="9" s="1"/>
  <c r="J20" i="9"/>
  <c r="B113" i="9" s="1"/>
  <c r="J19" i="9"/>
  <c r="B112" i="9" s="1"/>
  <c r="J18" i="9"/>
  <c r="B111" i="9" s="1"/>
  <c r="J17" i="9"/>
  <c r="B110" i="9" s="1"/>
  <c r="J13" i="9"/>
  <c r="B106" i="9" s="1"/>
  <c r="J16" i="9"/>
  <c r="B109" i="9" s="1"/>
  <c r="AL305" i="23" l="1"/>
  <c r="AN304" i="23"/>
  <c r="AL306" i="23"/>
  <c r="D158" i="14"/>
  <c r="E108" i="9"/>
  <c r="F108" i="9"/>
  <c r="E107" i="9"/>
  <c r="F107" i="9"/>
  <c r="E115" i="9"/>
  <c r="F115" i="9"/>
  <c r="F114" i="9"/>
  <c r="E114" i="9"/>
  <c r="E113" i="9"/>
  <c r="F113" i="9"/>
  <c r="E112" i="9"/>
  <c r="F112" i="9"/>
  <c r="E111" i="9"/>
  <c r="F111" i="9"/>
  <c r="E110" i="9"/>
  <c r="F110" i="9"/>
  <c r="E106" i="9"/>
  <c r="F106" i="9"/>
  <c r="F109" i="9"/>
  <c r="E109" i="9"/>
  <c r="AH209" i="12"/>
  <c r="AL209" i="12" s="1"/>
  <c r="AK209" i="12"/>
  <c r="Z199" i="12"/>
  <c r="Z200" i="12"/>
  <c r="AD200" i="12" s="1"/>
  <c r="AC198" i="12"/>
  <c r="X202" i="12"/>
  <c r="AC202" i="12" s="1"/>
  <c r="AA195" i="12"/>
  <c r="X201" i="12"/>
  <c r="Z197" i="12"/>
  <c r="AA203" i="12"/>
  <c r="AC197" i="12"/>
  <c r="AE197" i="12" s="1"/>
  <c r="BU21" i="12"/>
  <c r="Z202" i="12"/>
  <c r="AJ213" i="12"/>
  <c r="AB199" i="12"/>
  <c r="AA199" i="12"/>
  <c r="AD199" i="12" s="1"/>
  <c r="AD197" i="12"/>
  <c r="AF197" i="12" s="1"/>
  <c r="Z203" i="12"/>
  <c r="AD203" i="12" s="1"/>
  <c r="AD195" i="12"/>
  <c r="AD215" i="12"/>
  <c r="AJ215" i="12" s="1"/>
  <c r="AF217" i="12"/>
  <c r="AK217" i="12" s="1"/>
  <c r="AM217" i="12" s="1"/>
  <c r="AI210" i="12"/>
  <c r="AA198" i="12"/>
  <c r="AD198" i="12" s="1"/>
  <c r="AF198" i="12" s="1"/>
  <c r="AK211" i="12"/>
  <c r="AM211" i="12" s="1"/>
  <c r="W202" i="12"/>
  <c r="AB202" i="12" s="1"/>
  <c r="AE202" i="12" s="1"/>
  <c r="BU69" i="12"/>
  <c r="U202" i="12"/>
  <c r="AA202" i="12" s="1"/>
  <c r="AA210" i="12"/>
  <c r="AH210" i="12" s="1"/>
  <c r="AL210" i="12" s="1"/>
  <c r="BU67" i="12"/>
  <c r="AK213" i="12"/>
  <c r="X199" i="12"/>
  <c r="AC199" i="12" s="1"/>
  <c r="S204" i="12"/>
  <c r="Z204" i="12" s="1"/>
  <c r="AD204" i="12" s="1"/>
  <c r="AF204" i="12" s="1"/>
  <c r="L55" i="12"/>
  <c r="L51" i="12"/>
  <c r="L47" i="12"/>
  <c r="B269" i="24"/>
  <c r="B275" i="24"/>
  <c r="D269" i="24"/>
  <c r="B276" i="24"/>
  <c r="C268" i="24"/>
  <c r="C271" i="24"/>
  <c r="C284" i="24" s="1"/>
  <c r="C267" i="24"/>
  <c r="C275" i="24"/>
  <c r="B268" i="24"/>
  <c r="B281" i="24" s="1"/>
  <c r="C274" i="24"/>
  <c r="D272" i="24"/>
  <c r="D285" i="24" s="1"/>
  <c r="D275" i="24"/>
  <c r="B273" i="24"/>
  <c r="D276" i="24"/>
  <c r="C270" i="24"/>
  <c r="D274" i="24"/>
  <c r="D287" i="24" s="1"/>
  <c r="D300" i="24" s="1"/>
  <c r="D267" i="24"/>
  <c r="D280" i="24" s="1"/>
  <c r="D293" i="24" s="1"/>
  <c r="C273" i="24"/>
  <c r="D270" i="24"/>
  <c r="D283" i="24" s="1"/>
  <c r="D296" i="24" s="1"/>
  <c r="D298" i="24"/>
  <c r="R326" i="24" s="1"/>
  <c r="C297" i="24"/>
  <c r="AN302" i="23"/>
  <c r="AN298" i="23"/>
  <c r="AL300" i="23"/>
  <c r="AN300" i="23" s="1"/>
  <c r="AN297" i="23"/>
  <c r="AM305" i="23"/>
  <c r="AN305" i="23" s="1"/>
  <c r="AN303" i="23"/>
  <c r="AN299" i="23"/>
  <c r="AN306" i="23"/>
  <c r="AN301" i="23"/>
  <c r="O398" i="22"/>
  <c r="P398" i="22"/>
  <c r="Q398" i="22"/>
  <c r="N398" i="22"/>
  <c r="Q396" i="22"/>
  <c r="N396" i="22"/>
  <c r="O396" i="22"/>
  <c r="P396" i="22"/>
  <c r="U398" i="22"/>
  <c r="X398" i="22"/>
  <c r="V398" i="22"/>
  <c r="W398" i="22"/>
  <c r="Y398" i="22"/>
  <c r="U394" i="22"/>
  <c r="X394" i="22"/>
  <c r="V394" i="22"/>
  <c r="W394" i="22"/>
  <c r="Y394" i="22"/>
  <c r="T397" i="22"/>
  <c r="W397" i="22"/>
  <c r="Y397" i="22"/>
  <c r="X397" i="22"/>
  <c r="V397" i="22"/>
  <c r="B400" i="22"/>
  <c r="F400" i="22"/>
  <c r="G400" i="22"/>
  <c r="H400" i="22"/>
  <c r="I400" i="22"/>
  <c r="Y399" i="22"/>
  <c r="W399" i="22"/>
  <c r="X399" i="22"/>
  <c r="V399" i="22"/>
  <c r="G401" i="22"/>
  <c r="I401" i="22"/>
  <c r="H401" i="22"/>
  <c r="F401" i="22"/>
  <c r="M399" i="22"/>
  <c r="P399" i="22"/>
  <c r="N399" i="22"/>
  <c r="Q399" i="22"/>
  <c r="O399" i="22"/>
  <c r="D402" i="22"/>
  <c r="H402" i="22"/>
  <c r="I402" i="22"/>
  <c r="F402" i="22"/>
  <c r="G402" i="22"/>
  <c r="D394" i="22"/>
  <c r="H394" i="22"/>
  <c r="I394" i="22"/>
  <c r="F394" i="22"/>
  <c r="G394" i="22"/>
  <c r="J395" i="22"/>
  <c r="P395" i="22"/>
  <c r="N395" i="22"/>
  <c r="Q395" i="22"/>
  <c r="O395" i="22"/>
  <c r="K401" i="22"/>
  <c r="P401" i="22"/>
  <c r="O401" i="22"/>
  <c r="N401" i="22"/>
  <c r="Q401" i="22"/>
  <c r="V400" i="22"/>
  <c r="X400" i="22"/>
  <c r="Y400" i="22"/>
  <c r="W400" i="22"/>
  <c r="W393" i="22"/>
  <c r="Y393" i="22"/>
  <c r="X393" i="22"/>
  <c r="V393" i="22"/>
  <c r="H398" i="22"/>
  <c r="F398" i="22"/>
  <c r="I398" i="22"/>
  <c r="G398" i="22"/>
  <c r="D395" i="22"/>
  <c r="I395" i="22"/>
  <c r="G395" i="22"/>
  <c r="H395" i="22"/>
  <c r="F395" i="22"/>
  <c r="U402" i="22"/>
  <c r="X402" i="22"/>
  <c r="Y402" i="22"/>
  <c r="V402" i="22"/>
  <c r="W402" i="22"/>
  <c r="J394" i="22"/>
  <c r="O394" i="22"/>
  <c r="Q394" i="22"/>
  <c r="P394" i="22"/>
  <c r="N394" i="22"/>
  <c r="D396" i="22"/>
  <c r="F396" i="22"/>
  <c r="H396" i="22"/>
  <c r="G396" i="22"/>
  <c r="I396" i="22"/>
  <c r="W401" i="22"/>
  <c r="X401" i="22"/>
  <c r="V401" i="22"/>
  <c r="Y401" i="22"/>
  <c r="G397" i="22"/>
  <c r="H397" i="22"/>
  <c r="F397" i="22"/>
  <c r="I397" i="22"/>
  <c r="L393" i="22"/>
  <c r="N393" i="22"/>
  <c r="P393" i="22"/>
  <c r="O393" i="22"/>
  <c r="Q393" i="22"/>
  <c r="B399" i="22"/>
  <c r="I399" i="22"/>
  <c r="G399" i="22"/>
  <c r="H399" i="22"/>
  <c r="F399" i="22"/>
  <c r="V396" i="22"/>
  <c r="X396" i="22"/>
  <c r="Y396" i="22"/>
  <c r="W396" i="22"/>
  <c r="G393" i="22"/>
  <c r="I393" i="22"/>
  <c r="H393" i="22"/>
  <c r="F393" i="22"/>
  <c r="P397" i="22"/>
  <c r="N397" i="22"/>
  <c r="O397" i="22"/>
  <c r="Q397" i="22"/>
  <c r="Q400" i="22"/>
  <c r="N400" i="22"/>
  <c r="O400" i="22"/>
  <c r="P400" i="22"/>
  <c r="T395" i="22"/>
  <c r="Y395" i="22"/>
  <c r="W395" i="22"/>
  <c r="X395" i="22"/>
  <c r="V395" i="22"/>
  <c r="L395" i="22"/>
  <c r="AB395" i="22" s="1"/>
  <c r="K402" i="22"/>
  <c r="O402" i="22"/>
  <c r="P402" i="22"/>
  <c r="AF402" i="22" s="1"/>
  <c r="Q402" i="22"/>
  <c r="N402" i="22"/>
  <c r="M401" i="22"/>
  <c r="R402" i="22"/>
  <c r="R398" i="22"/>
  <c r="R394" i="22"/>
  <c r="J399" i="22"/>
  <c r="K395" i="22"/>
  <c r="C396" i="22"/>
  <c r="E396" i="22"/>
  <c r="K394" i="22"/>
  <c r="K393" i="22"/>
  <c r="J402" i="22"/>
  <c r="M393" i="22"/>
  <c r="M402" i="22"/>
  <c r="L402" i="22"/>
  <c r="B395" i="22"/>
  <c r="S394" i="22"/>
  <c r="T394" i="22"/>
  <c r="L394" i="22"/>
  <c r="M394" i="22"/>
  <c r="J393" i="22"/>
  <c r="T398" i="22"/>
  <c r="T402" i="22"/>
  <c r="C400" i="22"/>
  <c r="J401" i="22"/>
  <c r="S398" i="22"/>
  <c r="S402" i="22"/>
  <c r="L401" i="22"/>
  <c r="B396" i="22"/>
  <c r="B394" i="22"/>
  <c r="M395" i="22"/>
  <c r="E399" i="22"/>
  <c r="E394" i="22"/>
  <c r="E371" i="22"/>
  <c r="D400" i="22"/>
  <c r="D399" i="22"/>
  <c r="E370" i="22"/>
  <c r="R397" i="22"/>
  <c r="E400" i="22"/>
  <c r="B402" i="22"/>
  <c r="C399" i="22"/>
  <c r="E365" i="22"/>
  <c r="C394" i="22"/>
  <c r="S397" i="22"/>
  <c r="U397" i="22"/>
  <c r="U395" i="22"/>
  <c r="E367" i="22"/>
  <c r="S395" i="22"/>
  <c r="R395" i="22"/>
  <c r="E395" i="22"/>
  <c r="C402" i="22"/>
  <c r="E402" i="22"/>
  <c r="C395" i="22"/>
  <c r="E366" i="22"/>
  <c r="E373" i="22"/>
  <c r="L399" i="22"/>
  <c r="K399" i="22"/>
  <c r="S401" i="22"/>
  <c r="U401" i="22"/>
  <c r="R401" i="22"/>
  <c r="T401" i="22"/>
  <c r="J398" i="22"/>
  <c r="L398" i="22"/>
  <c r="M398" i="22"/>
  <c r="K398" i="22"/>
  <c r="M397" i="22"/>
  <c r="K397" i="22"/>
  <c r="J397" i="22"/>
  <c r="L397" i="22"/>
  <c r="E372" i="22"/>
  <c r="D401" i="22"/>
  <c r="E401" i="22"/>
  <c r="B401" i="22"/>
  <c r="C401" i="22"/>
  <c r="J396" i="22"/>
  <c r="M396" i="22"/>
  <c r="L396" i="22"/>
  <c r="K396" i="22"/>
  <c r="T399" i="22"/>
  <c r="S399" i="22"/>
  <c r="U399" i="22"/>
  <c r="R399" i="22"/>
  <c r="E368" i="22"/>
  <c r="D397" i="22"/>
  <c r="E397" i="22"/>
  <c r="B397" i="22"/>
  <c r="C397" i="22"/>
  <c r="U400" i="22"/>
  <c r="T400" i="22"/>
  <c r="R400" i="22"/>
  <c r="S400" i="22"/>
  <c r="U396" i="22"/>
  <c r="T396" i="22"/>
  <c r="R396" i="22"/>
  <c r="S396" i="22"/>
  <c r="R393" i="22"/>
  <c r="U393" i="22"/>
  <c r="S393" i="22"/>
  <c r="T393" i="22"/>
  <c r="E364" i="22"/>
  <c r="D393" i="22"/>
  <c r="B393" i="22"/>
  <c r="E393" i="22"/>
  <c r="C393" i="22"/>
  <c r="E369" i="22"/>
  <c r="E398" i="22"/>
  <c r="B398" i="22"/>
  <c r="C398" i="22"/>
  <c r="D398" i="22"/>
  <c r="M400" i="22"/>
  <c r="J400" i="22"/>
  <c r="K400" i="22"/>
  <c r="L400" i="22"/>
  <c r="D253" i="21"/>
  <c r="D255" i="21"/>
  <c r="B253" i="21"/>
  <c r="C253" i="21"/>
  <c r="B255" i="21"/>
  <c r="C255" i="21"/>
  <c r="C174" i="21"/>
  <c r="C215" i="21" s="1"/>
  <c r="C166" i="21"/>
  <c r="C207" i="21" s="1"/>
  <c r="C169" i="21"/>
  <c r="C210" i="21" s="1"/>
  <c r="C184" i="21"/>
  <c r="C225" i="21" s="1"/>
  <c r="D176" i="21"/>
  <c r="D217" i="21" s="1"/>
  <c r="D193" i="21"/>
  <c r="D234" i="21" s="1"/>
  <c r="D173" i="21"/>
  <c r="D214" i="21" s="1"/>
  <c r="C186" i="21"/>
  <c r="C227" i="21" s="1"/>
  <c r="D177" i="21"/>
  <c r="D218" i="21" s="1"/>
  <c r="B202" i="21"/>
  <c r="B243" i="21" s="1"/>
  <c r="D180" i="21"/>
  <c r="D221" i="21" s="1"/>
  <c r="D166" i="21"/>
  <c r="D207" i="21" s="1"/>
  <c r="B174" i="21"/>
  <c r="B215" i="21" s="1"/>
  <c r="D192" i="21"/>
  <c r="D233" i="21" s="1"/>
  <c r="C172" i="21"/>
  <c r="C213" i="21" s="1"/>
  <c r="B185" i="21"/>
  <c r="B226" i="21" s="1"/>
  <c r="B184" i="21"/>
  <c r="B225" i="21" s="1"/>
  <c r="C165" i="21"/>
  <c r="C206" i="21" s="1"/>
  <c r="B170" i="21"/>
  <c r="B211" i="21" s="1"/>
  <c r="C178" i="21"/>
  <c r="C219" i="21" s="1"/>
  <c r="B193" i="21"/>
  <c r="B234" i="21" s="1"/>
  <c r="D194" i="21"/>
  <c r="D235" i="21" s="1"/>
  <c r="C173" i="21"/>
  <c r="C214" i="21" s="1"/>
  <c r="D200" i="21"/>
  <c r="D241" i="21" s="1"/>
  <c r="D174" i="21"/>
  <c r="D215" i="21" s="1"/>
  <c r="B165" i="21"/>
  <c r="B206" i="21" s="1"/>
  <c r="C201" i="21"/>
  <c r="C242" i="21" s="1"/>
  <c r="C168" i="21"/>
  <c r="C209" i="21" s="1"/>
  <c r="C192" i="21"/>
  <c r="C233" i="21" s="1"/>
  <c r="D185" i="21"/>
  <c r="D226" i="21" s="1"/>
  <c r="D181" i="21"/>
  <c r="D222" i="21" s="1"/>
  <c r="D178" i="21"/>
  <c r="D219" i="21" s="1"/>
  <c r="C164" i="21"/>
  <c r="C205" i="21" s="1"/>
  <c r="C182" i="21"/>
  <c r="C223" i="21" s="1"/>
  <c r="D165" i="21"/>
  <c r="D206" i="21" s="1"/>
  <c r="B168" i="21"/>
  <c r="B209" i="21" s="1"/>
  <c r="B201" i="21"/>
  <c r="B242" i="21" s="1"/>
  <c r="B180" i="21"/>
  <c r="B221" i="21" s="1"/>
  <c r="B166" i="21"/>
  <c r="B207" i="21" s="1"/>
  <c r="D182" i="21"/>
  <c r="D223" i="21" s="1"/>
  <c r="D169" i="21"/>
  <c r="D210" i="21" s="1"/>
  <c r="D172" i="21"/>
  <c r="D213" i="21" s="1"/>
  <c r="C185" i="21"/>
  <c r="C226" i="21" s="1"/>
  <c r="B181" i="21"/>
  <c r="B222" i="21" s="1"/>
  <c r="D168" i="21"/>
  <c r="D209" i="21" s="1"/>
  <c r="C170" i="21"/>
  <c r="C211" i="21" s="1"/>
  <c r="B178" i="21"/>
  <c r="B219" i="21" s="1"/>
  <c r="D164" i="21"/>
  <c r="D205" i="21" s="1"/>
  <c r="C194" i="21"/>
  <c r="C235" i="21" s="1"/>
  <c r="B173" i="21"/>
  <c r="B214" i="21" s="1"/>
  <c r="C202" i="21"/>
  <c r="C243" i="21" s="1"/>
  <c r="B177" i="21"/>
  <c r="B218" i="21" s="1"/>
  <c r="B186" i="21"/>
  <c r="B227" i="21" s="1"/>
  <c r="D201" i="21"/>
  <c r="D242" i="21" s="1"/>
  <c r="C180" i="21"/>
  <c r="C221" i="21" s="1"/>
  <c r="C177" i="21"/>
  <c r="C218" i="21" s="1"/>
  <c r="C250" i="21" s="1"/>
  <c r="B192" i="21"/>
  <c r="B233" i="21" s="1"/>
  <c r="B169" i="21"/>
  <c r="B210" i="21" s="1"/>
  <c r="B172" i="21"/>
  <c r="B213" i="21" s="1"/>
  <c r="D184" i="21"/>
  <c r="D225" i="21" s="1"/>
  <c r="C181" i="21"/>
  <c r="C222" i="21" s="1"/>
  <c r="D202" i="21"/>
  <c r="D243" i="21" s="1"/>
  <c r="D170" i="21"/>
  <c r="D211" i="21" s="1"/>
  <c r="C193" i="21"/>
  <c r="C234" i="21" s="1"/>
  <c r="B164" i="21"/>
  <c r="B205" i="21" s="1"/>
  <c r="B194" i="21"/>
  <c r="B235" i="21" s="1"/>
  <c r="B200" i="21"/>
  <c r="B241" i="21" s="1"/>
  <c r="B176" i="21"/>
  <c r="B217" i="21" s="1"/>
  <c r="B182" i="21"/>
  <c r="B223" i="21" s="1"/>
  <c r="D178" i="19"/>
  <c r="B178" i="19"/>
  <c r="D177" i="19"/>
  <c r="C178" i="19"/>
  <c r="D191" i="19" s="1"/>
  <c r="B176" i="19"/>
  <c r="C176" i="19"/>
  <c r="D176" i="19"/>
  <c r="C177" i="19"/>
  <c r="B177" i="19"/>
  <c r="B169" i="19"/>
  <c r="C169" i="19"/>
  <c r="B161" i="19"/>
  <c r="C161" i="19"/>
  <c r="C165" i="19"/>
  <c r="B165" i="19"/>
  <c r="C188" i="19" s="1"/>
  <c r="D166" i="19"/>
  <c r="D165" i="19"/>
  <c r="B166" i="19"/>
  <c r="C166" i="19"/>
  <c r="C146" i="19"/>
  <c r="D146" i="19"/>
  <c r="D145" i="19"/>
  <c r="B146" i="19"/>
  <c r="B160" i="19"/>
  <c r="C160" i="19"/>
  <c r="D160" i="19"/>
  <c r="B141" i="19"/>
  <c r="C141" i="19"/>
  <c r="D156" i="19"/>
  <c r="B156" i="19"/>
  <c r="C156" i="19"/>
  <c r="B186" i="19" s="1"/>
  <c r="C149" i="19"/>
  <c r="B149" i="19"/>
  <c r="D169" i="19"/>
  <c r="C170" i="19"/>
  <c r="D170" i="19"/>
  <c r="B170" i="19"/>
  <c r="C152" i="19"/>
  <c r="D152" i="19"/>
  <c r="B152" i="19"/>
  <c r="D150" i="19"/>
  <c r="B150" i="19"/>
  <c r="C150" i="19"/>
  <c r="D149" i="19"/>
  <c r="B145" i="19"/>
  <c r="C145" i="19"/>
  <c r="C144" i="19"/>
  <c r="D144" i="19"/>
  <c r="B144" i="19"/>
  <c r="B153" i="19"/>
  <c r="C153" i="19"/>
  <c r="B158" i="19"/>
  <c r="D158" i="19"/>
  <c r="C158" i="19"/>
  <c r="D157" i="19"/>
  <c r="D153" i="19"/>
  <c r="B154" i="19"/>
  <c r="C154" i="19"/>
  <c r="D154" i="19"/>
  <c r="B174" i="19"/>
  <c r="D174" i="19"/>
  <c r="C174" i="19"/>
  <c r="D173" i="19"/>
  <c r="D172" i="19"/>
  <c r="B172" i="19"/>
  <c r="B191" i="19"/>
  <c r="C172" i="19"/>
  <c r="B190" i="19" s="1"/>
  <c r="D140" i="19"/>
  <c r="B140" i="19"/>
  <c r="C140" i="19"/>
  <c r="B157" i="19"/>
  <c r="C186" i="19" s="1"/>
  <c r="C157" i="19"/>
  <c r="C162" i="19"/>
  <c r="D161" i="19"/>
  <c r="B162" i="19"/>
  <c r="D187" i="19" s="1"/>
  <c r="D162" i="19"/>
  <c r="D142" i="19"/>
  <c r="C142" i="19"/>
  <c r="B142" i="19"/>
  <c r="D182" i="19" s="1"/>
  <c r="D141" i="19"/>
  <c r="B164" i="19"/>
  <c r="D164" i="19"/>
  <c r="C164" i="19"/>
  <c r="B188" i="19" s="1"/>
  <c r="C168" i="19"/>
  <c r="B168" i="19"/>
  <c r="D168" i="19"/>
  <c r="C191" i="19"/>
  <c r="B173" i="19"/>
  <c r="C173" i="19"/>
  <c r="B148" i="19"/>
  <c r="C148" i="19"/>
  <c r="B184" i="19" s="1"/>
  <c r="D148" i="19"/>
  <c r="D157" i="14"/>
  <c r="D156" i="14"/>
  <c r="C152" i="14"/>
  <c r="D155" i="14"/>
  <c r="B153" i="14"/>
  <c r="C153" i="14"/>
  <c r="B166" i="14" s="1"/>
  <c r="D151" i="14"/>
  <c r="C158" i="14"/>
  <c r="C154" i="14"/>
  <c r="C166" i="14"/>
  <c r="C179" i="14" s="1"/>
  <c r="C205" i="14" s="1"/>
  <c r="C160" i="14"/>
  <c r="D152" i="14"/>
  <c r="B159" i="14"/>
  <c r="C151" i="14"/>
  <c r="C164" i="14" s="1"/>
  <c r="C177" i="14" s="1"/>
  <c r="C203" i="14" s="1"/>
  <c r="D159" i="14"/>
  <c r="B152" i="14"/>
  <c r="B157" i="14"/>
  <c r="C156" i="14"/>
  <c r="B155" i="14"/>
  <c r="B160" i="14"/>
  <c r="C155" i="14"/>
  <c r="C157" i="14"/>
  <c r="D160" i="14"/>
  <c r="B154" i="14"/>
  <c r="D154" i="14"/>
  <c r="B158" i="14"/>
  <c r="B156" i="14"/>
  <c r="C159" i="14"/>
  <c r="AI217" i="12"/>
  <c r="AI214" i="12"/>
  <c r="AK215" i="12"/>
  <c r="AH214" i="12"/>
  <c r="AL214" i="12" s="1"/>
  <c r="AK218" i="12"/>
  <c r="AH218" i="12"/>
  <c r="AC200" i="12"/>
  <c r="AE198" i="12"/>
  <c r="AI218" i="12"/>
  <c r="AJ218" i="12"/>
  <c r="AM218" i="12" s="1"/>
  <c r="AC196" i="12"/>
  <c r="AE196" i="12" s="1"/>
  <c r="AC201" i="12"/>
  <c r="AE201" i="12" s="1"/>
  <c r="AE200" i="12"/>
  <c r="AD196" i="12"/>
  <c r="AD201" i="12"/>
  <c r="I108" i="12"/>
  <c r="I104" i="12"/>
  <c r="I100" i="12"/>
  <c r="AK210" i="12"/>
  <c r="AM210" i="12" s="1"/>
  <c r="W195" i="12"/>
  <c r="AB195" i="12" s="1"/>
  <c r="AE195" i="12" s="1"/>
  <c r="AB203" i="12"/>
  <c r="AE203" i="12" s="1"/>
  <c r="AH217" i="12"/>
  <c r="AL217" i="12" s="1"/>
  <c r="AF200" i="12"/>
  <c r="AE209" i="12"/>
  <c r="AJ209" i="12" s="1"/>
  <c r="AM209" i="12" s="1"/>
  <c r="AN209" i="12" s="1"/>
  <c r="AM214" i="12"/>
  <c r="AJ212" i="12"/>
  <c r="AM212" i="12" s="1"/>
  <c r="AM216" i="12"/>
  <c r="AI212" i="12"/>
  <c r="AL212" i="12" s="1"/>
  <c r="AH211" i="12"/>
  <c r="AL211" i="12" s="1"/>
  <c r="AI216" i="12"/>
  <c r="AL216" i="12" s="1"/>
  <c r="AN216" i="12" s="1"/>
  <c r="AH215" i="12"/>
  <c r="AL215" i="12" s="1"/>
  <c r="AE394" i="22" l="1"/>
  <c r="C282" i="24"/>
  <c r="C295" i="24" s="1"/>
  <c r="B283" i="24"/>
  <c r="B296" i="24" s="1"/>
  <c r="B289" i="24"/>
  <c r="B302" i="24" s="1"/>
  <c r="D166" i="14"/>
  <c r="D179" i="14" s="1"/>
  <c r="D205" i="14" s="1"/>
  <c r="AM213" i="12"/>
  <c r="AN213" i="12" s="1"/>
  <c r="AE199" i="12"/>
  <c r="AN211" i="12"/>
  <c r="AM215" i="12"/>
  <c r="AN215" i="12" s="1"/>
  <c r="AF196" i="12"/>
  <c r="AF195" i="12"/>
  <c r="AN217" i="12"/>
  <c r="AD202" i="12"/>
  <c r="AF202" i="12" s="1"/>
  <c r="B286" i="24"/>
  <c r="B299" i="24" s="1"/>
  <c r="F327" i="24" s="1"/>
  <c r="D288" i="24"/>
  <c r="D301" i="24" s="1"/>
  <c r="B284" i="24"/>
  <c r="D282" i="24"/>
  <c r="D295" i="24" s="1"/>
  <c r="S321" i="24"/>
  <c r="W321" i="24"/>
  <c r="V321" i="24"/>
  <c r="T321" i="24"/>
  <c r="Y321" i="24"/>
  <c r="X321" i="24"/>
  <c r="U321" i="24"/>
  <c r="C327" i="24"/>
  <c r="D327" i="24"/>
  <c r="I327" i="24"/>
  <c r="E327" i="24"/>
  <c r="J323" i="24"/>
  <c r="O323" i="24"/>
  <c r="K323" i="24"/>
  <c r="Q323" i="24"/>
  <c r="P323" i="24"/>
  <c r="L323" i="24"/>
  <c r="M323" i="24"/>
  <c r="N323" i="24"/>
  <c r="R324" i="24"/>
  <c r="W324" i="24"/>
  <c r="V324" i="24"/>
  <c r="X324" i="24"/>
  <c r="U324" i="24"/>
  <c r="Y324" i="24"/>
  <c r="S324" i="24"/>
  <c r="T324" i="24"/>
  <c r="G324" i="24"/>
  <c r="C324" i="24"/>
  <c r="F324" i="24"/>
  <c r="E324" i="24"/>
  <c r="H324" i="24"/>
  <c r="I324" i="24"/>
  <c r="D324" i="24"/>
  <c r="K325" i="24"/>
  <c r="O325" i="24"/>
  <c r="M325" i="24"/>
  <c r="N325" i="24"/>
  <c r="Q325" i="24"/>
  <c r="L325" i="24"/>
  <c r="P325" i="24"/>
  <c r="C330" i="24"/>
  <c r="G330" i="24"/>
  <c r="D330" i="24"/>
  <c r="I330" i="24"/>
  <c r="H330" i="24"/>
  <c r="F330" i="24"/>
  <c r="E330" i="24"/>
  <c r="C281" i="24"/>
  <c r="C294" i="24" s="1"/>
  <c r="R323" i="24"/>
  <c r="S323" i="24"/>
  <c r="W323" i="24"/>
  <c r="T323" i="24"/>
  <c r="V323" i="24"/>
  <c r="Y323" i="24"/>
  <c r="X323" i="24"/>
  <c r="U323" i="24"/>
  <c r="W328" i="24"/>
  <c r="V328" i="24"/>
  <c r="T328" i="24"/>
  <c r="U328" i="24"/>
  <c r="X328" i="24"/>
  <c r="Y328" i="24"/>
  <c r="S328" i="24"/>
  <c r="C288" i="24"/>
  <c r="C301" i="24" s="1"/>
  <c r="C289" i="24"/>
  <c r="C302" i="24" s="1"/>
  <c r="D281" i="24"/>
  <c r="D294" i="24" s="1"/>
  <c r="D286" i="24"/>
  <c r="D299" i="24" s="1"/>
  <c r="X329" i="24"/>
  <c r="T329" i="24"/>
  <c r="V329" i="24"/>
  <c r="C283" i="24"/>
  <c r="C296" i="24" s="1"/>
  <c r="C280" i="24"/>
  <c r="C293" i="24" s="1"/>
  <c r="B285" i="24"/>
  <c r="B298" i="24" s="1"/>
  <c r="C285" i="24"/>
  <c r="C298" i="24" s="1"/>
  <c r="D284" i="24"/>
  <c r="D297" i="24" s="1"/>
  <c r="S326" i="24"/>
  <c r="X326" i="24"/>
  <c r="T326" i="24"/>
  <c r="W326" i="24"/>
  <c r="V326" i="24"/>
  <c r="Y326" i="24"/>
  <c r="U326" i="24"/>
  <c r="C286" i="24"/>
  <c r="C299" i="24" s="1"/>
  <c r="D289" i="24"/>
  <c r="D302" i="24" s="1"/>
  <c r="C287" i="24"/>
  <c r="C300" i="24" s="1"/>
  <c r="B288" i="24"/>
  <c r="B287" i="24"/>
  <c r="B300" i="24" s="1"/>
  <c r="B280" i="24"/>
  <c r="B293" i="24" s="1"/>
  <c r="B282" i="24"/>
  <c r="B295" i="24" s="1"/>
  <c r="E295" i="24" s="1"/>
  <c r="B324" i="24"/>
  <c r="E283" i="24"/>
  <c r="E296" i="24"/>
  <c r="R328" i="24"/>
  <c r="J326" i="24"/>
  <c r="R330" i="24"/>
  <c r="R321" i="24"/>
  <c r="E280" i="24"/>
  <c r="J327" i="24"/>
  <c r="J322" i="24"/>
  <c r="B323" i="24"/>
  <c r="Z323" i="24" s="1"/>
  <c r="J325" i="24"/>
  <c r="R327" i="24"/>
  <c r="B330" i="24"/>
  <c r="E293" i="24"/>
  <c r="B321" i="24"/>
  <c r="B301" i="24"/>
  <c r="E281" i="24"/>
  <c r="B294" i="24"/>
  <c r="B328" i="24"/>
  <c r="R325" i="24"/>
  <c r="R329" i="24"/>
  <c r="E284" i="24"/>
  <c r="B297" i="24"/>
  <c r="E299" i="24"/>
  <c r="B327" i="24"/>
  <c r="AG399" i="22"/>
  <c r="AF393" i="22"/>
  <c r="Z395" i="22"/>
  <c r="Z399" i="22"/>
  <c r="AD402" i="22"/>
  <c r="Z394" i="22"/>
  <c r="AG398" i="22"/>
  <c r="AA395" i="22"/>
  <c r="AD399" i="22"/>
  <c r="AA394" i="22"/>
  <c r="AH394" i="22" s="1"/>
  <c r="Z402" i="22"/>
  <c r="AB402" i="22"/>
  <c r="AE398" i="22"/>
  <c r="AC402" i="22"/>
  <c r="AF398" i="22"/>
  <c r="AB394" i="22"/>
  <c r="AG402" i="22"/>
  <c r="AK402" i="22" s="1"/>
  <c r="AC394" i="22"/>
  <c r="AD398" i="22"/>
  <c r="AA402" i="22"/>
  <c r="AG396" i="22"/>
  <c r="AC399" i="22"/>
  <c r="Z400" i="22"/>
  <c r="AD394" i="22"/>
  <c r="AA396" i="22"/>
  <c r="AB397" i="22"/>
  <c r="AE399" i="22"/>
  <c r="AA398" i="22"/>
  <c r="AF399" i="22"/>
  <c r="AE402" i="22"/>
  <c r="AG394" i="22"/>
  <c r="AC395" i="22"/>
  <c r="AI395" i="22" s="1"/>
  <c r="AA400" i="22"/>
  <c r="AC398" i="22"/>
  <c r="AB396" i="22"/>
  <c r="AA401" i="22"/>
  <c r="AF394" i="22"/>
  <c r="AB398" i="22"/>
  <c r="AF400" i="22"/>
  <c r="AE393" i="22"/>
  <c r="AA399" i="22"/>
  <c r="AA393" i="22"/>
  <c r="AC396" i="22"/>
  <c r="AB399" i="22"/>
  <c r="AB400" i="22"/>
  <c r="AG400" i="22"/>
  <c r="AC397" i="22"/>
  <c r="AB401" i="22"/>
  <c r="Z398" i="22"/>
  <c r="Z393" i="22"/>
  <c r="AD396" i="22"/>
  <c r="AG393" i="22"/>
  <c r="AA397" i="22"/>
  <c r="AE397" i="22"/>
  <c r="AC400" i="22"/>
  <c r="AD393" i="22"/>
  <c r="AG401" i="22"/>
  <c r="Z396" i="22"/>
  <c r="AB393" i="22"/>
  <c r="AE396" i="22"/>
  <c r="AD397" i="22"/>
  <c r="AD400" i="22"/>
  <c r="AG397" i="22"/>
  <c r="AC393" i="22"/>
  <c r="AC401" i="22"/>
  <c r="AF401" i="22"/>
  <c r="AE400" i="22"/>
  <c r="AF395" i="22"/>
  <c r="Z397" i="22"/>
  <c r="Z401" i="22"/>
  <c r="AG395" i="22"/>
  <c r="AD401" i="22"/>
  <c r="AF396" i="22"/>
  <c r="AD395" i="22"/>
  <c r="AE401" i="22"/>
  <c r="AE395" i="22"/>
  <c r="AF397" i="22"/>
  <c r="D252" i="21"/>
  <c r="B247" i="21"/>
  <c r="B254" i="21"/>
  <c r="C247" i="21"/>
  <c r="B250" i="21"/>
  <c r="D247" i="21"/>
  <c r="B248" i="21"/>
  <c r="C256" i="21"/>
  <c r="D248" i="21"/>
  <c r="C254" i="21"/>
  <c r="B252" i="21"/>
  <c r="D250" i="21"/>
  <c r="D263" i="21" s="1"/>
  <c r="D289" i="21" s="1"/>
  <c r="C248" i="21"/>
  <c r="D256" i="21"/>
  <c r="C252" i="21"/>
  <c r="C265" i="21" s="1"/>
  <c r="C291" i="21" s="1"/>
  <c r="B256" i="21"/>
  <c r="B249" i="21"/>
  <c r="C251" i="21"/>
  <c r="C249" i="21"/>
  <c r="D251" i="21"/>
  <c r="D249" i="21"/>
  <c r="B251" i="21"/>
  <c r="D254" i="21"/>
  <c r="C267" i="21" s="1"/>
  <c r="C293" i="21" s="1"/>
  <c r="B266" i="21"/>
  <c r="B292" i="21" s="1"/>
  <c r="C266" i="21"/>
  <c r="C292" i="21" s="1"/>
  <c r="D266" i="21"/>
  <c r="D292" i="21" s="1"/>
  <c r="C268" i="21"/>
  <c r="C294" i="21" s="1"/>
  <c r="D268" i="21"/>
  <c r="D294" i="21" s="1"/>
  <c r="B268" i="21"/>
  <c r="B294" i="21" s="1"/>
  <c r="D183" i="19"/>
  <c r="C185" i="19"/>
  <c r="D184" i="19"/>
  <c r="D188" i="19"/>
  <c r="B183" i="19"/>
  <c r="C190" i="19"/>
  <c r="B189" i="19"/>
  <c r="C183" i="19"/>
  <c r="C196" i="19" s="1"/>
  <c r="C204" i="19"/>
  <c r="C217" i="19" s="1"/>
  <c r="C243" i="19" s="1"/>
  <c r="B204" i="19"/>
  <c r="B217" i="19" s="1"/>
  <c r="B243" i="19" s="1"/>
  <c r="D204" i="19"/>
  <c r="D217" i="19" s="1"/>
  <c r="D243" i="19" s="1"/>
  <c r="D190" i="19"/>
  <c r="D185" i="19"/>
  <c r="D189" i="19"/>
  <c r="C184" i="19"/>
  <c r="B187" i="19"/>
  <c r="B182" i="19"/>
  <c r="D186" i="19"/>
  <c r="C187" i="19"/>
  <c r="C200" i="19" s="1"/>
  <c r="C182" i="19"/>
  <c r="C209" i="19"/>
  <c r="C235" i="19" s="1"/>
  <c r="B185" i="19"/>
  <c r="C189" i="19"/>
  <c r="B165" i="14"/>
  <c r="B178" i="14" s="1"/>
  <c r="B204" i="14" s="1"/>
  <c r="B170" i="14"/>
  <c r="B183" i="14" s="1"/>
  <c r="B209" i="14" s="1"/>
  <c r="B169" i="14"/>
  <c r="B182" i="14" s="1"/>
  <c r="B208" i="14" s="1"/>
  <c r="C171" i="14"/>
  <c r="C184" i="14" s="1"/>
  <c r="C210" i="14" s="1"/>
  <c r="D173" i="14"/>
  <c r="D186" i="14" s="1"/>
  <c r="D212" i="14" s="1"/>
  <c r="D172" i="14"/>
  <c r="D185" i="14" s="1"/>
  <c r="D211" i="14" s="1"/>
  <c r="C167" i="14"/>
  <c r="C180" i="14" s="1"/>
  <c r="C206" i="14" s="1"/>
  <c r="B168" i="14"/>
  <c r="B181" i="14" s="1"/>
  <c r="B207" i="14" s="1"/>
  <c r="E166" i="14"/>
  <c r="B179" i="14"/>
  <c r="C165" i="14"/>
  <c r="C178" i="14" s="1"/>
  <c r="C204" i="14" s="1"/>
  <c r="B172" i="14"/>
  <c r="B185" i="14" s="1"/>
  <c r="B211" i="14" s="1"/>
  <c r="C173" i="14"/>
  <c r="C186" i="14" s="1"/>
  <c r="C212" i="14" s="1"/>
  <c r="D164" i="14"/>
  <c r="D177" i="14" s="1"/>
  <c r="D203" i="14" s="1"/>
  <c r="D169" i="14"/>
  <c r="D182" i="14" s="1"/>
  <c r="D208" i="14" s="1"/>
  <c r="B171" i="14"/>
  <c r="C170" i="14"/>
  <c r="C169" i="14"/>
  <c r="D170" i="14"/>
  <c r="D183" i="14" s="1"/>
  <c r="D209" i="14" s="1"/>
  <c r="D167" i="14"/>
  <c r="D180" i="14" s="1"/>
  <c r="D206" i="14" s="1"/>
  <c r="C168" i="14"/>
  <c r="C181" i="14" s="1"/>
  <c r="C207" i="14" s="1"/>
  <c r="C172" i="14"/>
  <c r="C185" i="14" s="1"/>
  <c r="C211" i="14" s="1"/>
  <c r="B167" i="14"/>
  <c r="B180" i="14" s="1"/>
  <c r="B206" i="14" s="1"/>
  <c r="E206" i="14" s="1"/>
  <c r="B173" i="14"/>
  <c r="D165" i="14"/>
  <c r="D171" i="14"/>
  <c r="D184" i="14" s="1"/>
  <c r="D210" i="14" s="1"/>
  <c r="D168" i="14"/>
  <c r="B164" i="14"/>
  <c r="B177" i="14" s="1"/>
  <c r="B203" i="14" s="1"/>
  <c r="AN212" i="12"/>
  <c r="AN214" i="12"/>
  <c r="AL218" i="12"/>
  <c r="AN218" i="12"/>
  <c r="AF201" i="12"/>
  <c r="AN210" i="12"/>
  <c r="AF203" i="12"/>
  <c r="AF199" i="12"/>
  <c r="D261" i="21" l="1"/>
  <c r="D287" i="21" s="1"/>
  <c r="C260" i="21"/>
  <c r="C286" i="21" s="1"/>
  <c r="AJ394" i="22"/>
  <c r="E302" i="24"/>
  <c r="E288" i="24"/>
  <c r="U329" i="24"/>
  <c r="W329" i="24"/>
  <c r="Y329" i="24"/>
  <c r="S329" i="24"/>
  <c r="H327" i="24"/>
  <c r="G327" i="24"/>
  <c r="E286" i="24"/>
  <c r="E285" i="24"/>
  <c r="J328" i="24"/>
  <c r="Z328" i="24" s="1"/>
  <c r="K328" i="24"/>
  <c r="O328" i="24"/>
  <c r="Q328" i="24"/>
  <c r="L328" i="24"/>
  <c r="P328" i="24"/>
  <c r="M328" i="24"/>
  <c r="N328" i="24"/>
  <c r="B326" i="24"/>
  <c r="Z326" i="24" s="1"/>
  <c r="G326" i="24"/>
  <c r="C326" i="24"/>
  <c r="D326" i="24"/>
  <c r="F326" i="24"/>
  <c r="H326" i="24"/>
  <c r="E326" i="24"/>
  <c r="I326" i="24"/>
  <c r="E300" i="24"/>
  <c r="C322" i="24"/>
  <c r="G322" i="24"/>
  <c r="E322" i="24"/>
  <c r="I322" i="24"/>
  <c r="D322" i="24"/>
  <c r="H322" i="24"/>
  <c r="F322" i="24"/>
  <c r="E289" i="24"/>
  <c r="E287" i="24"/>
  <c r="C321" i="24"/>
  <c r="G321" i="24"/>
  <c r="H321" i="24"/>
  <c r="E321" i="24"/>
  <c r="D321" i="24"/>
  <c r="F321" i="24"/>
  <c r="I321" i="24"/>
  <c r="S330" i="24"/>
  <c r="T330" i="24"/>
  <c r="X330" i="24"/>
  <c r="Y330" i="24"/>
  <c r="W330" i="24"/>
  <c r="U330" i="24"/>
  <c r="V330" i="24"/>
  <c r="J321" i="24"/>
  <c r="Z321" i="24" s="1"/>
  <c r="O321" i="24"/>
  <c r="K321" i="24"/>
  <c r="L321" i="24"/>
  <c r="N321" i="24"/>
  <c r="AD321" i="24" s="1"/>
  <c r="M321" i="24"/>
  <c r="Q321" i="24"/>
  <c r="P321" i="24"/>
  <c r="J329" i="24"/>
  <c r="K329" i="24"/>
  <c r="O329" i="24"/>
  <c r="N329" i="24"/>
  <c r="Q329" i="24"/>
  <c r="P329" i="24"/>
  <c r="M329" i="24"/>
  <c r="L329" i="24"/>
  <c r="K322" i="24"/>
  <c r="O322" i="24"/>
  <c r="P322" i="24"/>
  <c r="N322" i="24"/>
  <c r="Q322" i="24"/>
  <c r="L322" i="24"/>
  <c r="M322" i="24"/>
  <c r="C323" i="24"/>
  <c r="G323" i="24"/>
  <c r="AE323" i="24" s="1"/>
  <c r="D323" i="24"/>
  <c r="F323" i="24"/>
  <c r="E323" i="24"/>
  <c r="H323" i="24"/>
  <c r="AF323" i="24" s="1"/>
  <c r="I323" i="24"/>
  <c r="O330" i="24"/>
  <c r="K330" i="24"/>
  <c r="M330" i="24"/>
  <c r="N330" i="24"/>
  <c r="P330" i="24"/>
  <c r="L330" i="24"/>
  <c r="Q330" i="24"/>
  <c r="E282" i="24"/>
  <c r="J330" i="24"/>
  <c r="Z330" i="24" s="1"/>
  <c r="C328" i="24"/>
  <c r="G328" i="24"/>
  <c r="AE328" i="24" s="1"/>
  <c r="E328" i="24"/>
  <c r="D328" i="24"/>
  <c r="AB328" i="24" s="1"/>
  <c r="I328" i="24"/>
  <c r="AG328" i="24" s="1"/>
  <c r="H328" i="24"/>
  <c r="F328" i="24"/>
  <c r="O327" i="24"/>
  <c r="K327" i="24"/>
  <c r="M327" i="24"/>
  <c r="Q327" i="24"/>
  <c r="N327" i="24"/>
  <c r="P327" i="24"/>
  <c r="L327" i="24"/>
  <c r="W325" i="24"/>
  <c r="S325" i="24"/>
  <c r="X325" i="24"/>
  <c r="T325" i="24"/>
  <c r="U325" i="24"/>
  <c r="Y325" i="24"/>
  <c r="V325" i="24"/>
  <c r="O324" i="24"/>
  <c r="AE324" i="24" s="1"/>
  <c r="K324" i="24"/>
  <c r="AA324" i="24" s="1"/>
  <c r="Q324" i="24"/>
  <c r="AG324" i="24" s="1"/>
  <c r="P324" i="24"/>
  <c r="AF324" i="24" s="1"/>
  <c r="N324" i="24"/>
  <c r="AD324" i="24" s="1"/>
  <c r="M324" i="24"/>
  <c r="AC324" i="24" s="1"/>
  <c r="L324" i="24"/>
  <c r="AB324" i="24" s="1"/>
  <c r="J324" i="24"/>
  <c r="Z324" i="24" s="1"/>
  <c r="W327" i="24"/>
  <c r="Y327" i="24"/>
  <c r="U327" i="24"/>
  <c r="S327" i="24"/>
  <c r="X327" i="24"/>
  <c r="T327" i="24"/>
  <c r="V327" i="24"/>
  <c r="C325" i="24"/>
  <c r="G325" i="24"/>
  <c r="F325" i="24"/>
  <c r="I325" i="24"/>
  <c r="AG325" i="24" s="1"/>
  <c r="E325" i="24"/>
  <c r="AC325" i="24" s="1"/>
  <c r="H325" i="24"/>
  <c r="D325" i="24"/>
  <c r="C329" i="24"/>
  <c r="AA329" i="24" s="1"/>
  <c r="G329" i="24"/>
  <c r="D329" i="24"/>
  <c r="I329" i="24"/>
  <c r="E329" i="24"/>
  <c r="AC329" i="24" s="1"/>
  <c r="H329" i="24"/>
  <c r="AF329" i="24" s="1"/>
  <c r="F329" i="24"/>
  <c r="E298" i="24"/>
  <c r="O326" i="24"/>
  <c r="K326" i="24"/>
  <c r="N326" i="24"/>
  <c r="AD326" i="24" s="1"/>
  <c r="M326" i="24"/>
  <c r="P326" i="24"/>
  <c r="L326" i="24"/>
  <c r="Q326" i="24"/>
  <c r="R322" i="24"/>
  <c r="W322" i="24"/>
  <c r="S322" i="24"/>
  <c r="Y322" i="24"/>
  <c r="V322" i="24"/>
  <c r="T322" i="24"/>
  <c r="X322" i="24"/>
  <c r="U322" i="24"/>
  <c r="AD328" i="24"/>
  <c r="AE325" i="24"/>
  <c r="AG323" i="24"/>
  <c r="AA328" i="24"/>
  <c r="AC323" i="24"/>
  <c r="B363" i="24" s="1"/>
  <c r="AD322" i="24"/>
  <c r="AD330" i="24"/>
  <c r="AD323" i="24"/>
  <c r="AA323" i="24"/>
  <c r="Z327" i="24"/>
  <c r="AB323" i="24"/>
  <c r="B350" i="24" s="1"/>
  <c r="AG327" i="24"/>
  <c r="E294" i="24"/>
  <c r="AA322" i="24"/>
  <c r="B322" i="24"/>
  <c r="Z322" i="24" s="1"/>
  <c r="AF321" i="24"/>
  <c r="E297" i="24"/>
  <c r="B325" i="24"/>
  <c r="Z325" i="24" s="1"/>
  <c r="E301" i="24"/>
  <c r="B329" i="24"/>
  <c r="AB329" i="24"/>
  <c r="AD327" i="24"/>
  <c r="AD329" i="24"/>
  <c r="AK399" i="22"/>
  <c r="AK398" i="22"/>
  <c r="AH395" i="22"/>
  <c r="AH399" i="22"/>
  <c r="AK393" i="22"/>
  <c r="AJ402" i="22"/>
  <c r="AM402" i="22" s="1"/>
  <c r="AJ399" i="22"/>
  <c r="AM399" i="22" s="1"/>
  <c r="AJ398" i="22"/>
  <c r="AM398" i="22" s="1"/>
  <c r="AI402" i="22"/>
  <c r="AH402" i="22"/>
  <c r="AI394" i="22"/>
  <c r="AL394" i="22" s="1"/>
  <c r="AH400" i="22"/>
  <c r="AK396" i="22"/>
  <c r="AI399" i="22"/>
  <c r="AL399" i="22" s="1"/>
  <c r="AH398" i="22"/>
  <c r="AK394" i="22"/>
  <c r="AM394" i="22" s="1"/>
  <c r="AJ393" i="22"/>
  <c r="AI396" i="22"/>
  <c r="AJ401" i="22"/>
  <c r="AI397" i="22"/>
  <c r="AH396" i="22"/>
  <c r="AI401" i="22"/>
  <c r="AJ397" i="22"/>
  <c r="AH401" i="22"/>
  <c r="AK400" i="22"/>
  <c r="AI398" i="22"/>
  <c r="AL395" i="22"/>
  <c r="AH393" i="22"/>
  <c r="AH397" i="22"/>
  <c r="AI400" i="22"/>
  <c r="AJ396" i="22"/>
  <c r="AK397" i="22"/>
  <c r="AK401" i="22"/>
  <c r="AJ395" i="22"/>
  <c r="AI393" i="22"/>
  <c r="AJ400" i="22"/>
  <c r="AK395" i="22"/>
  <c r="D265" i="21"/>
  <c r="D291" i="21" s="1"/>
  <c r="B267" i="21"/>
  <c r="B293" i="21" s="1"/>
  <c r="D264" i="21"/>
  <c r="D290" i="21" s="1"/>
  <c r="B269" i="21"/>
  <c r="B295" i="21" s="1"/>
  <c r="B260" i="21"/>
  <c r="B286" i="21" s="1"/>
  <c r="C263" i="21"/>
  <c r="C289" i="21" s="1"/>
  <c r="B265" i="21"/>
  <c r="B291" i="21" s="1"/>
  <c r="E291" i="21" s="1"/>
  <c r="C269" i="21"/>
  <c r="C295" i="21" s="1"/>
  <c r="D260" i="21"/>
  <c r="D286" i="21" s="1"/>
  <c r="B264" i="21"/>
  <c r="B290" i="21" s="1"/>
  <c r="C264" i="21"/>
  <c r="C290" i="21" s="1"/>
  <c r="D269" i="21"/>
  <c r="D295" i="21" s="1"/>
  <c r="D267" i="21"/>
  <c r="D293" i="21" s="1"/>
  <c r="B263" i="21"/>
  <c r="B289" i="21" s="1"/>
  <c r="D262" i="21"/>
  <c r="D288" i="21" s="1"/>
  <c r="B262" i="21"/>
  <c r="B288" i="21" s="1"/>
  <c r="B261" i="21"/>
  <c r="B287" i="21" s="1"/>
  <c r="C261" i="21"/>
  <c r="C287" i="21" s="1"/>
  <c r="C262" i="21"/>
  <c r="C288" i="21" s="1"/>
  <c r="E266" i="21"/>
  <c r="E268" i="21"/>
  <c r="E292" i="21"/>
  <c r="C195" i="19"/>
  <c r="C208" i="19" s="1"/>
  <c r="C234" i="19" s="1"/>
  <c r="B196" i="19"/>
  <c r="D196" i="19"/>
  <c r="D209" i="19" s="1"/>
  <c r="D235" i="19" s="1"/>
  <c r="D201" i="19"/>
  <c r="D214" i="19" s="1"/>
  <c r="D240" i="19" s="1"/>
  <c r="B201" i="19"/>
  <c r="C201" i="19"/>
  <c r="C214" i="19" s="1"/>
  <c r="E204" i="19"/>
  <c r="C213" i="19"/>
  <c r="C239" i="19" s="1"/>
  <c r="C240" i="19"/>
  <c r="D199" i="19"/>
  <c r="C199" i="19"/>
  <c r="B199" i="19"/>
  <c r="D200" i="19"/>
  <c r="B200" i="19"/>
  <c r="C203" i="19"/>
  <c r="D203" i="19"/>
  <c r="B203" i="19"/>
  <c r="B198" i="19"/>
  <c r="C198" i="19"/>
  <c r="E243" i="19"/>
  <c r="B195" i="19"/>
  <c r="B208" i="19" s="1"/>
  <c r="D195" i="19"/>
  <c r="B197" i="19"/>
  <c r="C197" i="19"/>
  <c r="D197" i="19"/>
  <c r="D198" i="19"/>
  <c r="C202" i="19"/>
  <c r="B202" i="19"/>
  <c r="D202" i="19"/>
  <c r="E179" i="14"/>
  <c r="B205" i="14"/>
  <c r="E205" i="14" s="1"/>
  <c r="E203" i="14"/>
  <c r="E211" i="14"/>
  <c r="E217" i="19"/>
  <c r="E177" i="14"/>
  <c r="E185" i="14"/>
  <c r="E171" i="14"/>
  <c r="B184" i="14"/>
  <c r="E170" i="14"/>
  <c r="C183" i="14"/>
  <c r="E173" i="14"/>
  <c r="B186" i="14"/>
  <c r="E168" i="14"/>
  <c r="D181" i="14"/>
  <c r="E165" i="14"/>
  <c r="D178" i="14"/>
  <c r="E180" i="14"/>
  <c r="E169" i="14"/>
  <c r="C182" i="14"/>
  <c r="E172" i="14"/>
  <c r="E167" i="14"/>
  <c r="E164" i="14"/>
  <c r="B351" i="24" l="1"/>
  <c r="B364" i="24"/>
  <c r="B365" i="24"/>
  <c r="E288" i="21"/>
  <c r="AC328" i="24"/>
  <c r="AE321" i="24"/>
  <c r="AB321" i="24"/>
  <c r="AA330" i="24"/>
  <c r="AC330" i="24"/>
  <c r="B370" i="24" s="1"/>
  <c r="AF330" i="24"/>
  <c r="AG330" i="24"/>
  <c r="AK330" i="24" s="1"/>
  <c r="AC327" i="24"/>
  <c r="B367" i="24" s="1"/>
  <c r="AB327" i="24"/>
  <c r="AA325" i="24"/>
  <c r="AB325" i="24"/>
  <c r="B352" i="24" s="1"/>
  <c r="AK324" i="24"/>
  <c r="AC326" i="24"/>
  <c r="B366" i="24" s="1"/>
  <c r="AG329" i="24"/>
  <c r="AC322" i="24"/>
  <c r="B362" i="24" s="1"/>
  <c r="AG321" i="24"/>
  <c r="AA321" i="24"/>
  <c r="AE322" i="24"/>
  <c r="AJ322" i="24" s="1"/>
  <c r="AC321" i="24"/>
  <c r="B361" i="24" s="1"/>
  <c r="AB322" i="24"/>
  <c r="B349" i="24" s="1"/>
  <c r="AF326" i="24"/>
  <c r="AE326" i="24"/>
  <c r="AJ326" i="24" s="1"/>
  <c r="AG322" i="24"/>
  <c r="AJ328" i="24"/>
  <c r="AA326" i="24"/>
  <c r="AE329" i="24"/>
  <c r="AD325" i="24"/>
  <c r="AJ325" i="24" s="1"/>
  <c r="AF325" i="24"/>
  <c r="AK325" i="24" s="1"/>
  <c r="AF327" i="24"/>
  <c r="AA327" i="24"/>
  <c r="AB330" i="24"/>
  <c r="AE327" i="24"/>
  <c r="AH326" i="24"/>
  <c r="AH324" i="24"/>
  <c r="AI324" i="24"/>
  <c r="AL324" i="24" s="1"/>
  <c r="Z329" i="24"/>
  <c r="AE330" i="24"/>
  <c r="AG326" i="24"/>
  <c r="AB326" i="24"/>
  <c r="B353" i="24" s="1"/>
  <c r="AF328" i="24"/>
  <c r="AK328" i="24" s="1"/>
  <c r="AF322" i="24"/>
  <c r="AI323" i="24"/>
  <c r="AH328" i="24"/>
  <c r="AI321" i="24"/>
  <c r="AI328" i="24"/>
  <c r="AL328" i="24" s="1"/>
  <c r="AJ324" i="24"/>
  <c r="AM324" i="24" s="1"/>
  <c r="AK323" i="24"/>
  <c r="AK322" i="24"/>
  <c r="AJ323" i="24"/>
  <c r="AJ330" i="24"/>
  <c r="AM330" i="24" s="1"/>
  <c r="AH330" i="24"/>
  <c r="AH327" i="24"/>
  <c r="AH323" i="24"/>
  <c r="AH325" i="24"/>
  <c r="AJ329" i="24"/>
  <c r="AI325" i="24"/>
  <c r="AI329" i="24"/>
  <c r="AK321" i="24"/>
  <c r="AI322" i="24"/>
  <c r="AH329" i="24"/>
  <c r="AK327" i="24"/>
  <c r="AJ327" i="24"/>
  <c r="AK329" i="24"/>
  <c r="AI327" i="24"/>
  <c r="AJ321" i="24"/>
  <c r="AH322" i="24"/>
  <c r="AM393" i="22"/>
  <c r="AL396" i="22"/>
  <c r="AL402" i="22"/>
  <c r="AN402" i="22" s="1"/>
  <c r="AL398" i="22"/>
  <c r="AN398" i="22" s="1"/>
  <c r="AN394" i="22"/>
  <c r="AM396" i="22"/>
  <c r="AN396" i="22" s="1"/>
  <c r="AL400" i="22"/>
  <c r="AL401" i="22"/>
  <c r="AL397" i="22"/>
  <c r="AN399" i="22"/>
  <c r="AM401" i="22"/>
  <c r="AM397" i="22"/>
  <c r="AM400" i="22"/>
  <c r="AL393" i="22"/>
  <c r="AN393" i="22" s="1"/>
  <c r="AM395" i="22"/>
  <c r="AN395" i="22" s="1"/>
  <c r="E293" i="21"/>
  <c r="E260" i="21"/>
  <c r="E290" i="21"/>
  <c r="E263" i="21"/>
  <c r="E265" i="21"/>
  <c r="E267" i="21"/>
  <c r="E261" i="21"/>
  <c r="E269" i="21"/>
  <c r="E264" i="21"/>
  <c r="E262" i="21"/>
  <c r="E289" i="21"/>
  <c r="E286" i="21"/>
  <c r="E294" i="21"/>
  <c r="E287" i="21"/>
  <c r="E295" i="21"/>
  <c r="E196" i="19"/>
  <c r="B209" i="19"/>
  <c r="B214" i="19"/>
  <c r="B240" i="19" s="1"/>
  <c r="E201" i="19"/>
  <c r="E195" i="19"/>
  <c r="D213" i="19"/>
  <c r="D239" i="19" s="1"/>
  <c r="B216" i="19"/>
  <c r="E203" i="19"/>
  <c r="B215" i="19"/>
  <c r="E202" i="19"/>
  <c r="C210" i="19"/>
  <c r="C236" i="19" s="1"/>
  <c r="D216" i="19"/>
  <c r="D242" i="19" s="1"/>
  <c r="B212" i="19"/>
  <c r="E199" i="19"/>
  <c r="D215" i="19"/>
  <c r="D241" i="19" s="1"/>
  <c r="E240" i="19"/>
  <c r="C215" i="19"/>
  <c r="C241" i="19" s="1"/>
  <c r="B210" i="19"/>
  <c r="E197" i="19"/>
  <c r="C211" i="19"/>
  <c r="C237" i="19" s="1"/>
  <c r="C216" i="19"/>
  <c r="C242" i="19" s="1"/>
  <c r="C212" i="19"/>
  <c r="C238" i="19" s="1"/>
  <c r="D210" i="19"/>
  <c r="D236" i="19" s="1"/>
  <c r="D211" i="19"/>
  <c r="D237" i="19" s="1"/>
  <c r="D208" i="19"/>
  <c r="D234" i="19" s="1"/>
  <c r="B211" i="19"/>
  <c r="E198" i="19"/>
  <c r="B213" i="19"/>
  <c r="E213" i="19" s="1"/>
  <c r="E200" i="19"/>
  <c r="D212" i="19"/>
  <c r="D238" i="19" s="1"/>
  <c r="E178" i="14"/>
  <c r="D204" i="14"/>
  <c r="E204" i="14" s="1"/>
  <c r="E186" i="14"/>
  <c r="B212" i="14"/>
  <c r="E212" i="14" s="1"/>
  <c r="E183" i="14"/>
  <c r="C209" i="14"/>
  <c r="E209" i="14" s="1"/>
  <c r="E184" i="14"/>
  <c r="B210" i="14"/>
  <c r="E210" i="14" s="1"/>
  <c r="E182" i="14"/>
  <c r="C208" i="14"/>
  <c r="E208" i="14" s="1"/>
  <c r="E181" i="14"/>
  <c r="D207" i="14"/>
  <c r="E207" i="14" s="1"/>
  <c r="B348" i="24" l="1"/>
  <c r="B354" i="24"/>
  <c r="B368" i="24"/>
  <c r="B355" i="24"/>
  <c r="AI330" i="24"/>
  <c r="AL330" i="24" s="1"/>
  <c r="AN330" i="24" s="1"/>
  <c r="B357" i="24"/>
  <c r="B369" i="24"/>
  <c r="B356" i="24"/>
  <c r="E211" i="19"/>
  <c r="B237" i="19"/>
  <c r="E237" i="19" s="1"/>
  <c r="AM325" i="24"/>
  <c r="AK326" i="24"/>
  <c r="AM328" i="24"/>
  <c r="AH321" i="24"/>
  <c r="AL321" i="24" s="1"/>
  <c r="AI326" i="24"/>
  <c r="AL326" i="24" s="1"/>
  <c r="AM326" i="24"/>
  <c r="AL323" i="24"/>
  <c r="AM322" i="24"/>
  <c r="AM323" i="24"/>
  <c r="AN324" i="24"/>
  <c r="AL327" i="24"/>
  <c r="AM327" i="24"/>
  <c r="AN328" i="24"/>
  <c r="AM321" i="24"/>
  <c r="AL325" i="24"/>
  <c r="AN325" i="24" s="1"/>
  <c r="AL329" i="24"/>
  <c r="AM329" i="24"/>
  <c r="AL322" i="24"/>
  <c r="AN401" i="22"/>
  <c r="AN400" i="22"/>
  <c r="AN397" i="22"/>
  <c r="E210" i="19"/>
  <c r="B235" i="19"/>
  <c r="E235" i="19" s="1"/>
  <c r="E209" i="19"/>
  <c r="E214" i="19"/>
  <c r="E215" i="19"/>
  <c r="B239" i="19"/>
  <c r="E239" i="19" s="1"/>
  <c r="B241" i="19"/>
  <c r="E241" i="19" s="1"/>
  <c r="B238" i="19"/>
  <c r="E238" i="19" s="1"/>
  <c r="E212" i="19"/>
  <c r="B236" i="19"/>
  <c r="E236" i="19" s="1"/>
  <c r="B242" i="19"/>
  <c r="E242" i="19" s="1"/>
  <c r="E216" i="19"/>
  <c r="B234" i="19"/>
  <c r="E234" i="19" s="1"/>
  <c r="E208" i="19"/>
  <c r="AN322" i="24" l="1"/>
  <c r="AN321" i="24"/>
  <c r="AN326" i="24"/>
  <c r="AN323" i="24"/>
  <c r="AN327" i="24"/>
  <c r="AN329" i="24"/>
</calcChain>
</file>

<file path=xl/sharedStrings.xml><?xml version="1.0" encoding="utf-8"?>
<sst xmlns="http://schemas.openxmlformats.org/spreadsheetml/2006/main" count="4715" uniqueCount="258">
  <si>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</si>
  <si>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</si>
  <si>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</si>
  <si>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</si>
  <si>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</si>
  <si>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Нижний альфа-срез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</si>
  <si>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</si>
  <si>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</si>
  <si>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</si>
  <si>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</si>
  <si>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</si>
  <si>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</si>
  <si>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</si>
  <si>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</si>
  <si>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</si>
  <si>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</si>
  <si>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</si>
  <si>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</si>
  <si>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</si>
  <si>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</si>
  <si>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</si>
  <si>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</si>
  <si>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</si>
  <si>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</si>
  <si>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</si>
  <si>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</si>
  <si>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</si>
  <si>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</si>
  <si>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</si>
  <si>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</si>
  <si>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</si>
  <si>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</si>
  <si>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</si>
  <si>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</si>
  <si>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</si>
  <si>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</si>
  <si>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</si>
  <si>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</si>
  <si>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</si>
  <si>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</si>
  <si>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</si>
  <si>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</si>
  <si>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</si>
  <si>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</si>
  <si>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</si>
  <si>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</si>
  <si>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</si>
  <si>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</si>
  <si>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</si>
  <si>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</si>
  <si>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</si>
  <si>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</si>
  <si>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</si>
  <si>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</si>
  <si>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</si>
  <si>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</si>
  <si>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</si>
  <si>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</si>
  <si>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</si>
  <si>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</si>
  <si>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</si>
  <si>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</si>
  <si>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</si>
  <si>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</si>
  <si>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</si>
  <si>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</si>
  <si>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</si>
  <si>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</si>
  <si>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</si>
  <si>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</si>
  <si>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</si>
  <si>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</si>
  <si>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</si>
  <si>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</si>
  <si>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</si>
  <si>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</si>
  <si>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</si>
  <si>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</si>
  <si>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</si>
  <si>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</si>
  <si>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</si>
  <si>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</si>
  <si>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</si>
  <si>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</si>
  <si>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</si>
  <si>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</si>
  <si>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</si>
  <si>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</si>
  <si>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</si>
  <si>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</si>
  <si>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</si>
  <si>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</si>
  <si>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</si>
  <si>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</si>
  <si>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</si>
  <si>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</si>
  <si>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</si>
  <si>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</si>
  <si>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</si>
  <si>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</si>
  <si>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</si>
  <si>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</si>
  <si>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</si>
  <si>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</si>
  <si>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</si>
  <si>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</si>
  <si>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</si>
  <si>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</si>
  <si>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</si>
  <si>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Весовые коэффициенты для принятия решения экспертами 1 и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</si>
  <si>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</si>
  <si>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</si>
  <si>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 xml:space="preserve">Таблица 5_расчет взвешенного среднего рейтинга функциональных задач </t>
  </si>
  <si>
    <t>Функциональная задача</t>
  </si>
  <si>
    <t>Оценка эксперта 1</t>
  </si>
  <si>
    <t>Оценка эксперта 2</t>
  </si>
  <si>
    <t>Оценка эксперта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</si>
  <si>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</si>
  <si>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</si>
  <si>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</si>
  <si>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</si>
  <si>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</si>
  <si>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</si>
  <si>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</si>
  <si>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</si>
  <si>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</si>
  <si>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</si>
  <si>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</si>
  <si>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</si>
  <si>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</si>
  <si>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</si>
  <si>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</si>
  <si>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</si>
  <si>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</si>
  <si>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</si>
  <si>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</si>
  <si>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</si>
  <si>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</si>
  <si>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</si>
  <si>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Таблица 6_Приоритетная значимость функциональных требования, расставленные экспертами в виде нечетких трапециевидных чисел 2-го типа</t>
  </si>
  <si>
    <t>Таблица 7_Расчет взвешенной средней оценки приоритета функциональных задач (оценки двух лиц - Эксперта 1 и Эксперта 2)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</si>
  <si>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</si>
  <si>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</si>
  <si>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</si>
  <si>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</si>
  <si>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</si>
  <si>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</si>
  <si>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</si>
  <si>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</si>
  <si>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</si>
  <si>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</si>
  <si>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</si>
  <si>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</si>
  <si>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</si>
  <si>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</si>
  <si>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</si>
  <si>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</si>
  <si>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</si>
  <si>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</si>
  <si>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</si>
  <si>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</si>
  <si>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</si>
  <si>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</si>
  <si>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</si>
  <si>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</si>
  <si>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</si>
  <si>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</si>
  <si>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</si>
  <si>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5_сортировка взвешенного среднего рейтинга функциональных задач по убыванию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</si>
  <si>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</si>
  <si>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</si>
  <si>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</si>
  <si>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</si>
  <si>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</si>
  <si>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</si>
  <si>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</si>
  <si>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</si>
  <si>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</si>
  <si>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</si>
  <si>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</si>
  <si>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</si>
  <si>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</si>
  <si>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</si>
  <si>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</si>
  <si>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</si>
  <si>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</si>
  <si>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</si>
  <si>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</si>
  <si>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</si>
  <si>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</si>
  <si>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</si>
  <si>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</si>
  <si>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</si>
  <si>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</si>
  <si>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</si>
  <si>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</si>
  <si>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</si>
  <si>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</si>
  <si>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</si>
  <si>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</si>
  <si>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</si>
  <si>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</si>
  <si>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</si>
  <si>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</si>
  <si>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</si>
  <si>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</si>
  <si>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</si>
  <si>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</si>
  <si>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</si>
  <si>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</si>
  <si>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7_ взвешенная степень согласованности эксперта С(Ei)</t>
  </si>
  <si>
    <t>Таблица 8_Вес агрегирования эксперта w(Ei)</t>
  </si>
  <si>
    <t xml:space="preserve">Таблица 9_Индивидуальные экспертные рейтинги функциональных задач </t>
  </si>
  <si>
    <t>Таблица 10_Коллективный рейтинг функциональных задач R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</si>
  <si>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</si>
  <si>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Матрицы нормированного расстояния  по верхним функциям принадлежности (dM_UMF)</t>
  </si>
  <si>
    <t>Матрицы нормированного расстояния  по нижним функциям принадлежности (dM_LMF)</t>
  </si>
  <si>
    <t>Таблица 11_сортировка коллективного рейтинга функциональных задач по убыванию</t>
  </si>
  <si>
    <t>Матрицы агрегированной меры согласованности по верхним функциям принадлежности (AMr_UMF)</t>
  </si>
  <si>
    <t>Матрицы агрегированной меры согласованности по нижним функциям принадлежности (AMr_LMF)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</si>
  <si>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</si>
  <si>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</si>
  <si>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</si>
  <si>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</si>
  <si>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</si>
  <si>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</si>
  <si>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№ п/п</t>
  </si>
  <si>
    <t>Четкие подходы</t>
  </si>
  <si>
    <t>Нечеткие подходы</t>
  </si>
  <si>
    <t>Четкий MoSCoW_взвешенные средние</t>
  </si>
  <si>
    <t>Четкий MoSCoW_Lu 2006</t>
  </si>
  <si>
    <t>FMoSCoW_взвешенные средние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</si>
  <si>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</si>
  <si>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</si>
  <si>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</si>
  <si>
    <t>FMoSCoW_Hsu 1996</t>
  </si>
  <si>
    <t>FMoSCoW_Chen 1998</t>
  </si>
  <si>
    <t>Четкий MoSCoW_Hsu 1996</t>
  </si>
  <si>
    <t>Четкий MoSCoW_Chen 1998</t>
  </si>
  <si>
    <t>Сравнение результатов моделирования приоритизации по выполненным расчетам</t>
  </si>
  <si>
    <t>Нечеткая модель коллективного принятия решений с использованием метода взвешенной средней</t>
  </si>
  <si>
    <r>
      <t>Нечеткая м</t>
    </r>
    <r>
      <rPr>
        <b/>
        <sz val="14"/>
        <rFont val="Calibri"/>
        <family val="2"/>
        <charset val="204"/>
      </rPr>
      <t>одель коллективного принятия решений при наличии консенсуса</t>
    </r>
  </si>
  <si>
    <t>Четкая модель коллективного принятия решений с использованием метода взвешенной средней</t>
  </si>
  <si>
    <t>Нечеткая модель коллективного принятия решений на основе меры сходства со стандартизированными оценками</t>
  </si>
  <si>
    <t>Нечеткая модель коллективного принятия решений с использованием мер сходства и расстояния в оценках экспертов</t>
  </si>
  <si>
    <r>
      <t>Четкая м</t>
    </r>
    <r>
      <rPr>
        <b/>
        <sz val="14"/>
        <rFont val="Calibri"/>
        <family val="2"/>
        <charset val="204"/>
        <scheme val="minor"/>
      </rPr>
      <t>одель коллективного принятия решений при наличии консенсуса</t>
    </r>
  </si>
  <si>
    <t>Четкая модель коллективного принятия решений на основе меры сходства со стандартизированными оценками</t>
  </si>
  <si>
    <t>Четкая модель коллективного принятия решений с использованием мер сходства и расстояния в оценках экспертов</t>
  </si>
  <si>
    <t>Hsu 1996</t>
  </si>
  <si>
    <t>Четкий Hsu 1996</t>
  </si>
  <si>
    <t>Четкий Chen 1998</t>
  </si>
  <si>
    <t xml:space="preserve"> Четкий Hsu 1996</t>
  </si>
  <si>
    <t>Нечеткий Hsu 1996</t>
  </si>
  <si>
    <t>Итоговый приоритет при принятии решения экспертами 1, 2 и 3</t>
  </si>
  <si>
    <t>Оценка эксперта , умноженная на соответствующий коэффициент консенсуса</t>
  </si>
  <si>
    <t>Оценка эксперта 1, умноженная на соответствующий коэффициент консенсуса</t>
  </si>
  <si>
    <t>Оценка эксперта 2, умноженная на соответствующий коэффициент консенсуса</t>
  </si>
  <si>
    <t>Итоговый приоритет при принятии решения экспертами 1 и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</si>
</sst>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7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5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3" xfId="0" applyFill="1" applyBorder="1"/>
    <xf numFmtId="0" fontId="0" fillId="0" borderId="34" xfId="0" applyBorder="1"/>
    <xf numFmtId="0" fontId="0" fillId="4" borderId="35" xfId="0" applyFill="1" applyBorder="1"/>
    <xf numFmtId="0" fontId="0" fillId="0" borderId="35" xfId="0" applyBorder="1"/>
    <xf numFmtId="0" fontId="0" fillId="0" borderId="36" xfId="0" applyBorder="1"/>
    <xf numFmtId="4" fontId="0" fillId="0" borderId="34" xfId="0" applyNumberFormat="1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4" fontId="0" fillId="0" borderId="37" xfId="0" applyNumberFormat="1" applyBorder="1"/>
    <xf numFmtId="4" fontId="0" fillId="0" borderId="38" xfId="0" applyNumberFormat="1" applyBorder="1"/>
    <xf numFmtId="0" fontId="0" fillId="0" borderId="39" xfId="0" applyBorder="1"/>
    <xf numFmtId="0" fontId="0" fillId="4" borderId="40" xfId="0" applyFill="1" applyBorder="1"/>
    <xf numFmtId="0" fontId="0" fillId="0" borderId="40" xfId="0" applyBorder="1"/>
    <xf numFmtId="0" fontId="0" fillId="0" borderId="32" xfId="0" applyBorder="1"/>
    <xf numFmtId="4" fontId="0" fillId="0" borderId="39" xfId="0" applyNumberFormat="1" applyBorder="1"/>
    <xf numFmtId="4" fontId="0" fillId="0" borderId="32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4" fillId="0" borderId="11" xfId="0" applyFont="1" applyBorder="1" applyAlignment="1">
      <alignment vertical="center"/>
    </xf>
    <xf numFmtId="0" fontId="0" fillId="0" borderId="11" xfId="0" applyBorder="1"/>
    <xf numFmtId="0" fontId="4" fillId="0" borderId="33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31" xfId="0" applyBorder="1"/>
    <xf numFmtId="2" fontId="3" fillId="0" borderId="34" xfId="0" applyNumberFormat="1" applyFont="1" applyBorder="1"/>
    <xf numFmtId="2" fontId="3" fillId="0" borderId="36" xfId="0" applyNumberFormat="1" applyFont="1" applyBorder="1"/>
    <xf numFmtId="2" fontId="3" fillId="0" borderId="37" xfId="0" applyNumberFormat="1" applyFont="1" applyBorder="1"/>
    <xf numFmtId="2" fontId="3" fillId="0" borderId="38" xfId="0" applyNumberFormat="1" applyFont="1" applyBorder="1"/>
    <xf numFmtId="2" fontId="3" fillId="0" borderId="39" xfId="0" applyNumberFormat="1" applyFont="1" applyBorder="1"/>
    <xf numFmtId="2" fontId="3" fillId="0" borderId="32" xfId="0" applyNumberFormat="1" applyFont="1" applyBorder="1"/>
    <xf numFmtId="0" fontId="0" fillId="0" borderId="3" xfId="0" applyBorder="1" applyAlignment="1">
      <alignment wrapText="1"/>
    </xf>
    <xf numFmtId="0" fontId="8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9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3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4" fillId="0" borderId="19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5" fillId="0" borderId="16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48" xfId="0" applyBorder="1"/>
    <xf numFmtId="0" fontId="5" fillId="0" borderId="4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4" xfId="0" applyFont="1" applyBorder="1"/>
    <xf numFmtId="0" fontId="0" fillId="0" borderId="29" xfId="0" applyBorder="1"/>
    <xf numFmtId="0" fontId="5" fillId="0" borderId="45" xfId="0" applyFont="1" applyBorder="1"/>
    <xf numFmtId="0" fontId="5" fillId="0" borderId="47" xfId="0" applyFont="1" applyBorder="1"/>
    <xf numFmtId="0" fontId="5" fillId="0" borderId="49" xfId="0" applyFont="1" applyBorder="1" applyAlignment="1">
      <alignment horizontal="center" vertical="center" wrapText="1"/>
    </xf>
    <xf numFmtId="0" fontId="0" fillId="0" borderId="13" xfId="0" applyBorder="1"/>
    <xf numFmtId="0" fontId="10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0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5" fillId="0" borderId="5" xfId="0" applyFont="1" applyBorder="1"/>
    <xf numFmtId="0" fontId="5" fillId="0" borderId="10" xfId="0" applyFont="1" applyBorder="1"/>
    <xf numFmtId="2" fontId="0" fillId="0" borderId="0" xfId="0" applyNumberFormat="1" applyAlignment="1">
      <alignment wrapText="1"/>
    </xf>
    <xf numFmtId="2" fontId="5" fillId="0" borderId="1" xfId="0" applyNumberFormat="1" applyFont="1" applyBorder="1" applyAlignment="1">
      <alignment wrapText="1"/>
    </xf>
    <xf numFmtId="2" fontId="0" fillId="0" borderId="43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4" xfId="0" applyNumberFormat="1" applyBorder="1"/>
    <xf numFmtId="2" fontId="0" fillId="0" borderId="34" xfId="0" applyNumberFormat="1" applyBorder="1"/>
    <xf numFmtId="2" fontId="0" fillId="0" borderId="37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0" fontId="11" fillId="0" borderId="0" xfId="0" applyFont="1" applyAlignment="1">
      <alignment wrapText="1"/>
    </xf>
    <xf numFmtId="2" fontId="7" fillId="0" borderId="0" xfId="1" applyNumberFormat="1" applyAlignment="1"/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1" xfId="0" applyFont="1" applyBorder="1"/>
    <xf numFmtId="0" fontId="5" fillId="0" borderId="49" xfId="0" applyFont="1" applyBorder="1"/>
    <xf numFmtId="0" fontId="5" fillId="0" borderId="8" xfId="0" applyFont="1" applyBorder="1" applyAlignment="1">
      <alignment wrapText="1"/>
    </xf>
    <xf numFmtId="165" fontId="0" fillId="0" borderId="1" xfId="0" applyNumberFormat="1" applyBorder="1"/>
    <xf numFmtId="0" fontId="5" fillId="0" borderId="7" xfId="0" applyFont="1" applyBorder="1"/>
    <xf numFmtId="0" fontId="5" fillId="0" borderId="9" xfId="0" applyFont="1" applyBorder="1"/>
    <xf numFmtId="0" fontId="5" fillId="0" borderId="20" xfId="0" applyFont="1" applyBorder="1" applyAlignment="1">
      <alignment wrapText="1"/>
    </xf>
    <xf numFmtId="0" fontId="5" fillId="0" borderId="12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0" fillId="0" borderId="2" xfId="0" applyNumberFormat="1" applyBorder="1"/>
    <xf numFmtId="164" fontId="0" fillId="0" borderId="43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2" fontId="0" fillId="5" borderId="1" xfId="0" applyNumberFormat="1" applyFill="1" applyBorder="1"/>
    <xf numFmtId="0" fontId="10" fillId="0" borderId="0" xfId="0" applyFont="1" applyAlignment="1">
      <alignment horizontal="left" vertical="center"/>
    </xf>
    <xf numFmtId="0" fontId="4" fillId="0" borderId="4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2" fontId="0" fillId="0" borderId="5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45" xfId="0" applyNumberFormat="1" applyBorder="1"/>
    <xf numFmtId="2" fontId="0" fillId="0" borderId="56" xfId="0" applyNumberFormat="1" applyBorder="1"/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13" xfId="0" applyFont="1" applyBorder="1" applyAlignment="1">
      <alignment wrapText="1"/>
    </xf>
    <xf numFmtId="164" fontId="0" fillId="0" borderId="59" xfId="0" applyNumberFormat="1" applyBorder="1"/>
    <xf numFmtId="164" fontId="0" fillId="0" borderId="33" xfId="0" applyNumberFormat="1" applyBorder="1"/>
    <xf numFmtId="164" fontId="0" fillId="0" borderId="44" xfId="0" applyNumberFormat="1" applyBorder="1"/>
    <xf numFmtId="164" fontId="0" fillId="0" borderId="3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0" fontId="0" fillId="0" borderId="19" xfId="0" applyBorder="1"/>
    <xf numFmtId="2" fontId="3" fillId="0" borderId="35" xfId="0" applyNumberFormat="1" applyFont="1" applyBorder="1"/>
    <xf numFmtId="2" fontId="3" fillId="0" borderId="0" xfId="0" applyNumberFormat="1" applyFont="1"/>
    <xf numFmtId="2" fontId="3" fillId="0" borderId="40" xfId="0" applyNumberFormat="1" applyFont="1" applyBorder="1"/>
    <xf numFmtId="0" fontId="5" fillId="0" borderId="0" xfId="0" applyFont="1" applyAlignment="1">
      <alignment horizontal="center" vertical="center"/>
    </xf>
    <xf numFmtId="3" fontId="0" fillId="0" borderId="0" xfId="0" applyNumberFormat="1"/>
    <xf numFmtId="2" fontId="0" fillId="0" borderId="36" xfId="0" applyNumberFormat="1" applyBorder="1"/>
    <xf numFmtId="2" fontId="0" fillId="0" borderId="41" xfId="0" applyNumberFormat="1" applyBorder="1"/>
    <xf numFmtId="2" fontId="0" fillId="0" borderId="38" xfId="0" applyNumberFormat="1" applyBorder="1"/>
    <xf numFmtId="2" fontId="0" fillId="0" borderId="42" xfId="0" applyNumberFormat="1" applyBorder="1"/>
    <xf numFmtId="2" fontId="0" fillId="0" borderId="31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1" xfId="0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164" fontId="0" fillId="0" borderId="7" xfId="0" applyNumberFormat="1" applyBorder="1"/>
    <xf numFmtId="164" fontId="0" fillId="0" borderId="6" xfId="0" applyNumberFormat="1" applyBorder="1"/>
    <xf numFmtId="164" fontId="0" fillId="0" borderId="11" xfId="0" applyNumberFormat="1" applyBorder="1"/>
    <xf numFmtId="0" fontId="5" fillId="0" borderId="51" xfId="0" applyFont="1" applyBorder="1" applyAlignment="1">
      <alignment wrapText="1"/>
    </xf>
    <xf numFmtId="0" fontId="5" fillId="0" borderId="49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5" fillId="0" borderId="41" xfId="0" applyFont="1" applyBorder="1"/>
    <xf numFmtId="0" fontId="5" fillId="0" borderId="31" xfId="0" applyFont="1" applyBorder="1"/>
    <xf numFmtId="0" fontId="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5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5" fillId="0" borderId="34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CCFFFF"/>
      <color rgb="FFFFFFCC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eeexplore.ieee.org/abstract/document/834260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workbookViewId="0">
      <selection activeCell="C18" sqref="C18"/>
    </sheetView>
  </sheetViews>
  <sheetFormatPr defaultRowHeight="15" x14ac:dyDescent="0.25"/>
  <cols>
    <col min="1" max="1" width="5.85546875" style="36" customWidth="1"/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11.710937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ht="18.75" x14ac:dyDescent="0.3">
      <c r="B1" s="203" t="s">
        <v>239</v>
      </c>
    </row>
    <row r="3" spans="1:17" x14ac:dyDescent="0.25">
      <c r="A3" s="213" t="s">
        <v>226</v>
      </c>
      <c r="B3" s="211" t="s">
        <v>228</v>
      </c>
      <c r="C3" s="215"/>
      <c r="D3" s="215"/>
      <c r="E3" s="215"/>
      <c r="F3" s="215"/>
      <c r="G3" s="215"/>
      <c r="H3" s="215"/>
      <c r="I3" s="212"/>
      <c r="J3" s="214" t="s">
        <v>227</v>
      </c>
      <c r="K3" s="214"/>
      <c r="L3" s="214"/>
      <c r="M3" s="214"/>
      <c r="N3" s="214"/>
      <c r="O3" s="214"/>
      <c r="P3" s="214"/>
      <c r="Q3" s="214"/>
    </row>
    <row r="4" spans="1:17" x14ac:dyDescent="0.25">
      <c r="A4" s="213"/>
      <c r="B4" s="211" t="s">
        <v>231</v>
      </c>
      <c r="C4" s="212"/>
      <c r="D4" s="211" t="s">
        <v>235</v>
      </c>
      <c r="E4" s="212"/>
      <c r="F4" s="211" t="s">
        <v>236</v>
      </c>
      <c r="G4" s="212"/>
      <c r="H4" s="211" t="s">
        <v>232</v>
      </c>
      <c r="I4" s="212"/>
      <c r="J4" s="211" t="s">
        <v>229</v>
      </c>
      <c r="K4" s="212"/>
      <c r="L4" s="211" t="s">
        <v>237</v>
      </c>
      <c r="M4" s="212"/>
      <c r="N4" s="211" t="s">
        <v>238</v>
      </c>
      <c r="O4" s="212"/>
      <c r="P4" s="211" t="s">
        <v>230</v>
      </c>
      <c r="Q4" s="212"/>
    </row>
    <row r="5" spans="1:17" x14ac:dyDescent="0.25">
      <c r="A5" s="201">
        <v>1</v>
      </c>
      <c r="B5" s="129" t="s">
        <v>25</v>
      </c>
      <c r="C5" s="129">
        <v>12.680254999999999</v>
      </c>
      <c r="D5" s="2" t="s">
        <v>25</v>
      </c>
      <c r="E5" s="129">
        <v>12.732133729212656</v>
      </c>
      <c r="F5" s="2" t="s">
        <v>25</v>
      </c>
      <c r="G5" s="129">
        <v>12.721147205388451</v>
      </c>
      <c r="H5" s="2" t="s">
        <v>25</v>
      </c>
      <c r="I5" s="129">
        <v>12.7056586313808</v>
      </c>
      <c r="J5" s="2" t="s">
        <v>25</v>
      </c>
      <c r="K5" s="129">
        <v>12.6225</v>
      </c>
      <c r="L5" s="2" t="s">
        <v>25</v>
      </c>
      <c r="M5" s="129">
        <v>12.67773870234074</v>
      </c>
      <c r="N5" s="2" t="s">
        <v>25</v>
      </c>
      <c r="O5" s="129">
        <v>12.659453791469193</v>
      </c>
      <c r="P5" s="2" t="s">
        <v>25</v>
      </c>
      <c r="Q5" s="129">
        <v>12.536504195877342</v>
      </c>
    </row>
    <row r="6" spans="1:17" x14ac:dyDescent="0.25">
      <c r="A6" s="201">
        <v>2</v>
      </c>
      <c r="B6" s="129" t="s">
        <v>15</v>
      </c>
      <c r="C6" s="129">
        <v>12.628625</v>
      </c>
      <c r="D6" s="2" t="s">
        <v>15</v>
      </c>
      <c r="E6" s="129">
        <v>12.441243486147759</v>
      </c>
      <c r="F6" s="2" t="s">
        <v>15</v>
      </c>
      <c r="G6" s="129">
        <v>12.633179987519293</v>
      </c>
      <c r="H6" s="2" t="s">
        <v>15</v>
      </c>
      <c r="I6" s="129">
        <v>12.332104154873768</v>
      </c>
      <c r="J6" s="2" t="s">
        <v>15</v>
      </c>
      <c r="K6" s="129">
        <v>12.335000000000001</v>
      </c>
      <c r="L6" s="2" t="s">
        <v>15</v>
      </c>
      <c r="M6" s="129">
        <v>12.319369394929994</v>
      </c>
      <c r="N6" s="2" t="s">
        <v>15</v>
      </c>
      <c r="O6" s="129">
        <v>12.313911392405064</v>
      </c>
      <c r="P6" s="2" t="s">
        <v>21</v>
      </c>
      <c r="Q6" s="129">
        <v>12.023661846047476</v>
      </c>
    </row>
    <row r="7" spans="1:17" x14ac:dyDescent="0.25">
      <c r="A7" s="201">
        <v>3</v>
      </c>
      <c r="B7" s="129" t="s">
        <v>21</v>
      </c>
      <c r="C7" s="129">
        <v>11.8926</v>
      </c>
      <c r="D7" s="2" t="s">
        <v>21</v>
      </c>
      <c r="E7" s="129">
        <v>11.991412134522992</v>
      </c>
      <c r="F7" s="2" t="s">
        <v>21</v>
      </c>
      <c r="G7" s="129">
        <v>11.940492970692333</v>
      </c>
      <c r="H7" s="2" t="s">
        <v>21</v>
      </c>
      <c r="I7" s="129">
        <v>12.043726778080062</v>
      </c>
      <c r="J7" s="2" t="s">
        <v>21</v>
      </c>
      <c r="K7" s="129">
        <v>11.782499999999999</v>
      </c>
      <c r="L7" s="2" t="s">
        <v>21</v>
      </c>
      <c r="M7" s="129">
        <v>11.86352418264635</v>
      </c>
      <c r="N7" s="2" t="s">
        <v>21</v>
      </c>
      <c r="O7" s="129">
        <v>11.83417576791809</v>
      </c>
      <c r="P7" s="2" t="s">
        <v>15</v>
      </c>
      <c r="Q7" s="129">
        <v>12.012853222860379</v>
      </c>
    </row>
    <row r="8" spans="1:17" x14ac:dyDescent="0.25">
      <c r="A8" s="201">
        <v>4</v>
      </c>
      <c r="B8" s="129" t="s">
        <v>18</v>
      </c>
      <c r="C8" s="129">
        <v>11.806549999999998</v>
      </c>
      <c r="D8" s="112" t="s">
        <v>16</v>
      </c>
      <c r="E8" s="165">
        <v>11.928871829085455</v>
      </c>
      <c r="F8" s="2" t="s">
        <v>18</v>
      </c>
      <c r="G8" s="129">
        <v>11.884980757029561</v>
      </c>
      <c r="H8" s="112" t="s">
        <v>16</v>
      </c>
      <c r="I8" s="165">
        <v>11.890057720254312</v>
      </c>
      <c r="J8" s="2" t="s">
        <v>18</v>
      </c>
      <c r="K8" s="129">
        <v>11.6</v>
      </c>
      <c r="L8" s="2" t="s">
        <v>18</v>
      </c>
      <c r="M8" s="129">
        <v>11.656913693599162</v>
      </c>
      <c r="N8" s="2" t="s">
        <v>18</v>
      </c>
      <c r="O8" s="129">
        <v>11.622316176470587</v>
      </c>
      <c r="P8" s="112" t="s">
        <v>16</v>
      </c>
      <c r="Q8" s="165">
        <v>11.718769617446785</v>
      </c>
    </row>
    <row r="9" spans="1:17" x14ac:dyDescent="0.25">
      <c r="A9" s="201">
        <v>5</v>
      </c>
      <c r="B9" s="129" t="s">
        <v>16</v>
      </c>
      <c r="C9" s="129">
        <v>11.447075</v>
      </c>
      <c r="D9" s="112" t="s">
        <v>18</v>
      </c>
      <c r="E9" s="165">
        <v>11.701173259452414</v>
      </c>
      <c r="F9" s="2" t="s">
        <v>16</v>
      </c>
      <c r="G9" s="129">
        <v>11.60742877073152</v>
      </c>
      <c r="H9" s="112" t="s">
        <v>18</v>
      </c>
      <c r="I9" s="165">
        <v>11.612508093962997</v>
      </c>
      <c r="J9" s="2" t="s">
        <v>16</v>
      </c>
      <c r="K9" s="129">
        <v>11.275</v>
      </c>
      <c r="L9" s="2" t="s">
        <v>16</v>
      </c>
      <c r="M9" s="129">
        <v>11.586481595460414</v>
      </c>
      <c r="N9" s="2" t="s">
        <v>16</v>
      </c>
      <c r="O9" s="129">
        <v>11.463419943820226</v>
      </c>
      <c r="P9" s="112" t="s">
        <v>18</v>
      </c>
      <c r="Q9" s="165">
        <v>11.240768710550045</v>
      </c>
    </row>
    <row r="10" spans="1:17" x14ac:dyDescent="0.25">
      <c r="A10" s="201">
        <v>6</v>
      </c>
      <c r="B10" s="129" t="s">
        <v>23</v>
      </c>
      <c r="C10" s="129">
        <v>11.026250000000001</v>
      </c>
      <c r="D10" s="2" t="s">
        <v>23</v>
      </c>
      <c r="E10" s="129">
        <v>11.172110574334429</v>
      </c>
      <c r="F10" s="2" t="s">
        <v>23</v>
      </c>
      <c r="G10" s="129">
        <v>11.107600430178691</v>
      </c>
      <c r="H10" s="2" t="s">
        <v>23</v>
      </c>
      <c r="I10" s="129">
        <v>11.142019937440118</v>
      </c>
      <c r="J10" s="2" t="s">
        <v>23</v>
      </c>
      <c r="K10" s="129">
        <v>10.8575</v>
      </c>
      <c r="L10" s="2" t="s">
        <v>23</v>
      </c>
      <c r="M10" s="129">
        <v>10.957194855926748</v>
      </c>
      <c r="N10" s="2" t="s">
        <v>23</v>
      </c>
      <c r="O10" s="129">
        <v>10.92171437740693</v>
      </c>
      <c r="P10" s="2" t="s">
        <v>23</v>
      </c>
      <c r="Q10" s="129">
        <v>10.80320241591976</v>
      </c>
    </row>
    <row r="11" spans="1:17" x14ac:dyDescent="0.25">
      <c r="A11" s="201">
        <v>7</v>
      </c>
      <c r="B11" s="129" t="s">
        <v>20</v>
      </c>
      <c r="C11" s="129">
        <v>10.928524999999999</v>
      </c>
      <c r="D11" s="2" t="s">
        <v>20</v>
      </c>
      <c r="E11" s="129">
        <v>10.982999782096588</v>
      </c>
      <c r="F11" s="2" t="s">
        <v>20</v>
      </c>
      <c r="G11" s="129">
        <v>11.02378443279332</v>
      </c>
      <c r="H11" s="112" t="s">
        <v>24</v>
      </c>
      <c r="I11" s="165">
        <v>10.947879821186056</v>
      </c>
      <c r="J11" s="2" t="s">
        <v>20</v>
      </c>
      <c r="K11" s="129">
        <v>10.780000000000001</v>
      </c>
      <c r="L11" s="2" t="s">
        <v>20</v>
      </c>
      <c r="M11" s="129">
        <v>10.940344509006392</v>
      </c>
      <c r="N11" s="2" t="s">
        <v>20</v>
      </c>
      <c r="O11" s="129">
        <v>10.874425561797752</v>
      </c>
      <c r="P11" s="112" t="s">
        <v>24</v>
      </c>
      <c r="Q11" s="165">
        <v>10.775</v>
      </c>
    </row>
    <row r="12" spans="1:17" x14ac:dyDescent="0.25">
      <c r="A12" s="201">
        <v>8</v>
      </c>
      <c r="B12" s="129" t="s">
        <v>24</v>
      </c>
      <c r="C12" s="129">
        <v>10.928330000000001</v>
      </c>
      <c r="D12" s="2" t="s">
        <v>24</v>
      </c>
      <c r="E12" s="129">
        <v>10.948639164129716</v>
      </c>
      <c r="F12" s="2" t="s">
        <v>24</v>
      </c>
      <c r="G12" s="129">
        <v>10.928835518510208</v>
      </c>
      <c r="H12" s="112" t="s">
        <v>20</v>
      </c>
      <c r="I12" s="165">
        <v>10.925491686674672</v>
      </c>
      <c r="J12" s="2" t="s">
        <v>24</v>
      </c>
      <c r="K12" s="129">
        <v>10.775</v>
      </c>
      <c r="L12" s="2" t="s">
        <v>24</v>
      </c>
      <c r="M12" s="129">
        <v>10.78987555113917</v>
      </c>
      <c r="N12" s="2" t="s">
        <v>24</v>
      </c>
      <c r="O12" s="129">
        <v>10.774999999999999</v>
      </c>
      <c r="P12" s="112" t="s">
        <v>20</v>
      </c>
      <c r="Q12" s="165">
        <v>10.771981857557151</v>
      </c>
    </row>
    <row r="13" spans="1:17" x14ac:dyDescent="0.25">
      <c r="A13" s="201">
        <v>9</v>
      </c>
      <c r="B13" s="129" t="s">
        <v>19</v>
      </c>
      <c r="C13" s="129">
        <v>10.279405000000001</v>
      </c>
      <c r="D13" s="2" t="s">
        <v>19</v>
      </c>
      <c r="E13" s="129">
        <v>10.638851320257926</v>
      </c>
      <c r="F13" s="2" t="s">
        <v>19</v>
      </c>
      <c r="G13" s="129">
        <v>10.439033764014358</v>
      </c>
      <c r="H13" s="2" t="s">
        <v>19</v>
      </c>
      <c r="I13" s="129">
        <v>10.506557997538224</v>
      </c>
      <c r="J13" s="2" t="s">
        <v>19</v>
      </c>
      <c r="K13" s="129">
        <v>10.11</v>
      </c>
      <c r="L13" s="2" t="s">
        <v>19</v>
      </c>
      <c r="M13" s="129">
        <v>10.449163356822549</v>
      </c>
      <c r="N13" s="2" t="s">
        <v>19</v>
      </c>
      <c r="O13" s="129">
        <v>10.293906976744186</v>
      </c>
      <c r="P13" s="2" t="s">
        <v>19</v>
      </c>
      <c r="Q13" s="129">
        <v>10.362371493107599</v>
      </c>
    </row>
    <row r="14" spans="1:17" x14ac:dyDescent="0.25">
      <c r="A14" s="201">
        <v>10</v>
      </c>
      <c r="B14" s="129" t="s">
        <v>14</v>
      </c>
      <c r="C14" s="129">
        <v>7.0285099999999998</v>
      </c>
      <c r="D14" s="2" t="s">
        <v>14</v>
      </c>
      <c r="E14" s="129">
        <v>7.0707274772296014</v>
      </c>
      <c r="F14" s="2" t="s">
        <v>14</v>
      </c>
      <c r="G14" s="129">
        <v>7.0688884680978052</v>
      </c>
      <c r="H14" s="2" t="s">
        <v>14</v>
      </c>
      <c r="I14" s="129">
        <v>7.0291120824892213</v>
      </c>
      <c r="J14" s="2" t="s">
        <v>14</v>
      </c>
      <c r="K14" s="129">
        <v>6.7650000000000006</v>
      </c>
      <c r="L14" s="2" t="s">
        <v>14</v>
      </c>
      <c r="M14" s="129">
        <v>6.8145000000000007</v>
      </c>
      <c r="N14" s="2" t="s">
        <v>14</v>
      </c>
      <c r="O14" s="129">
        <v>6.8025638297872337</v>
      </c>
      <c r="P14" s="2" t="s">
        <v>14</v>
      </c>
      <c r="Q14" s="129">
        <v>6.3831185567010316</v>
      </c>
    </row>
  </sheetData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U218"/>
  <sheetViews>
    <sheetView tabSelected="1" zoomScaleNormal="100" workbookViewId="0">
      <selection activeCell="A5" sqref="A5:E5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81" width="9.140625" customWidth="1"/>
  </cols>
  <sheetData>
    <row r="1" spans="1:73" ht="18.75" x14ac:dyDescent="0.3">
      <c r="A1" s="203" t="s">
        <v>240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37</v>
      </c>
      <c r="B4" s="40" t="s">
        <v>38</v>
      </c>
      <c r="C4" s="37"/>
    </row>
    <row r="5" spans="1:73" ht="30" customHeight="1" x14ac:dyDescent="0.25">
      <c r="A5" s="246" t="s">
        <v>221</v>
      </c>
      <c r="B5" s="247"/>
      <c r="C5" s="247"/>
      <c r="D5" s="248"/>
      <c r="E5" s="248"/>
    </row>
    <row r="6" spans="1:73" ht="15.75" x14ac:dyDescent="0.25">
      <c r="A6" s="81"/>
      <c r="B6" s="38"/>
      <c r="C6" s="38"/>
    </row>
    <row r="7" spans="1:73" ht="15.75" x14ac:dyDescent="0.25">
      <c r="A7" s="81"/>
      <c r="B7" s="38"/>
      <c r="C7" s="38"/>
    </row>
    <row r="8" spans="1:73" ht="18.75" x14ac:dyDescent="0.3">
      <c r="A8" s="84" t="s">
        <v>91</v>
      </c>
      <c r="B8" s="38"/>
      <c r="C8" s="38"/>
    </row>
    <row r="9" spans="1:73" x14ac:dyDescent="0.25">
      <c r="A9" s="1" t="s">
        <v>49</v>
      </c>
      <c r="B9" s="38"/>
      <c r="C9" s="38"/>
    </row>
    <row r="10" spans="1:73" ht="15.75" thickBot="1" x14ac:dyDescent="0.3">
      <c r="A10" s="39" t="s">
        <v>94</v>
      </c>
      <c r="B10" s="38"/>
      <c r="C10" s="38"/>
      <c r="BO10">
        <v>0.8</v>
      </c>
    </row>
    <row r="11" spans="1:73" ht="86.25" customHeight="1" thickBot="1" x14ac:dyDescent="0.3">
      <c r="A11" s="242" t="s">
        <v>26</v>
      </c>
      <c r="B11" s="242" t="s">
        <v>27</v>
      </c>
      <c r="C11" s="243" t="s">
        <v>28</v>
      </c>
      <c r="D11" s="244" t="s">
        <v>58</v>
      </c>
      <c r="E11" s="245"/>
      <c r="F11" s="245"/>
      <c r="G11" s="245" t="s">
        <v>59</v>
      </c>
      <c r="H11" s="245"/>
      <c r="I11" s="245"/>
      <c r="J11" s="240" t="s">
        <v>88</v>
      </c>
      <c r="K11" s="230" t="s">
        <v>81</v>
      </c>
      <c r="L11" s="231"/>
      <c r="M11" s="231"/>
      <c r="N11" s="231"/>
      <c r="O11" s="231"/>
      <c r="P11" s="231"/>
      <c r="Q11" s="231"/>
      <c r="R11" s="232"/>
      <c r="S11" s="230" t="s">
        <v>79</v>
      </c>
      <c r="T11" s="231"/>
      <c r="U11" s="231"/>
      <c r="V11" s="231"/>
      <c r="W11" s="231"/>
      <c r="X11" s="231"/>
      <c r="Y11" s="231"/>
      <c r="Z11" s="232"/>
      <c r="AA11" s="230" t="s">
        <v>80</v>
      </c>
      <c r="AB11" s="231"/>
      <c r="AC11" s="231"/>
      <c r="AD11" s="231"/>
      <c r="AE11" s="231"/>
      <c r="AF11" s="231"/>
      <c r="AG11" s="231"/>
      <c r="AH11" s="232"/>
      <c r="AI11" s="230" t="s">
        <v>78</v>
      </c>
      <c r="AJ11" s="231"/>
      <c r="AK11" s="231"/>
      <c r="AL11" s="231"/>
      <c r="AM11" s="231"/>
      <c r="AN11" s="231"/>
      <c r="AO11" s="231"/>
      <c r="AP11" s="232"/>
      <c r="AQ11" s="230" t="s">
        <v>89</v>
      </c>
      <c r="AR11" s="231"/>
      <c r="AS11" s="231"/>
      <c r="AT11" s="231"/>
      <c r="AU11" s="231"/>
      <c r="AV11" s="231"/>
      <c r="AW11" s="231"/>
      <c r="AX11" s="232"/>
      <c r="AY11" s="230" t="s">
        <v>90</v>
      </c>
      <c r="AZ11" s="231"/>
      <c r="BA11" s="231"/>
      <c r="BB11" s="231"/>
      <c r="BC11" s="231"/>
      <c r="BD11" s="231"/>
      <c r="BE11" s="231"/>
      <c r="BF11" s="232"/>
      <c r="BG11" s="230" t="s">
        <v>132</v>
      </c>
      <c r="BH11" s="231"/>
      <c r="BI11" s="231"/>
      <c r="BJ11" s="231"/>
      <c r="BK11" s="231"/>
      <c r="BL11" s="231"/>
      <c r="BM11" s="231"/>
      <c r="BN11" s="232"/>
      <c r="BO11" s="219" t="s">
        <v>82</v>
      </c>
      <c r="BP11" s="220"/>
      <c r="BQ11" s="220"/>
      <c r="BR11" s="221"/>
      <c r="BS11" s="222" t="s">
        <v>84</v>
      </c>
      <c r="BT11" s="223"/>
      <c r="BU11" s="224" t="s">
        <v>87</v>
      </c>
    </row>
    <row r="12" spans="1:73" s="36" customFormat="1" ht="23.25" customHeight="1" thickBot="1" x14ac:dyDescent="0.3">
      <c r="A12" s="242"/>
      <c r="B12" s="242"/>
      <c r="C12" s="243"/>
      <c r="D12" s="60" t="s">
        <v>50</v>
      </c>
      <c r="E12" s="45" t="s">
        <v>51</v>
      </c>
      <c r="F12" s="45" t="s">
        <v>52</v>
      </c>
      <c r="G12" s="45" t="s">
        <v>50</v>
      </c>
      <c r="H12" s="45" t="s">
        <v>51</v>
      </c>
      <c r="I12" s="45" t="s">
        <v>52</v>
      </c>
      <c r="J12" s="241"/>
      <c r="K12" s="230" t="s">
        <v>3</v>
      </c>
      <c r="L12" s="231"/>
      <c r="M12" s="231"/>
      <c r="N12" s="232"/>
      <c r="O12" s="230" t="s">
        <v>4</v>
      </c>
      <c r="P12" s="231"/>
      <c r="Q12" s="231"/>
      <c r="R12" s="232"/>
      <c r="S12" s="230" t="s">
        <v>3</v>
      </c>
      <c r="T12" s="231"/>
      <c r="U12" s="231"/>
      <c r="V12" s="232"/>
      <c r="W12" s="230" t="s">
        <v>4</v>
      </c>
      <c r="X12" s="231"/>
      <c r="Y12" s="231"/>
      <c r="Z12" s="232"/>
      <c r="AA12" s="230" t="s">
        <v>3</v>
      </c>
      <c r="AB12" s="231"/>
      <c r="AC12" s="231"/>
      <c r="AD12" s="232"/>
      <c r="AE12" s="230" t="s">
        <v>4</v>
      </c>
      <c r="AF12" s="231"/>
      <c r="AG12" s="231"/>
      <c r="AH12" s="232"/>
      <c r="AI12" s="230" t="s">
        <v>3</v>
      </c>
      <c r="AJ12" s="231"/>
      <c r="AK12" s="231"/>
      <c r="AL12" s="232"/>
      <c r="AM12" s="230" t="s">
        <v>4</v>
      </c>
      <c r="AN12" s="231"/>
      <c r="AO12" s="231"/>
      <c r="AP12" s="232"/>
      <c r="AQ12" s="230" t="s">
        <v>3</v>
      </c>
      <c r="AR12" s="231"/>
      <c r="AS12" s="231"/>
      <c r="AT12" s="232"/>
      <c r="AU12" s="230" t="s">
        <v>4</v>
      </c>
      <c r="AV12" s="231"/>
      <c r="AW12" s="231"/>
      <c r="AX12" s="232"/>
      <c r="AY12" s="230" t="s">
        <v>3</v>
      </c>
      <c r="AZ12" s="231"/>
      <c r="BA12" s="231"/>
      <c r="BB12" s="232"/>
      <c r="BC12" s="230" t="s">
        <v>4</v>
      </c>
      <c r="BD12" s="231"/>
      <c r="BE12" s="231"/>
      <c r="BF12" s="232"/>
      <c r="BG12" s="230" t="s">
        <v>3</v>
      </c>
      <c r="BH12" s="231"/>
      <c r="BI12" s="231"/>
      <c r="BJ12" s="232"/>
      <c r="BK12" s="230" t="s">
        <v>4</v>
      </c>
      <c r="BL12" s="231"/>
      <c r="BM12" s="231"/>
      <c r="BN12" s="232"/>
      <c r="BO12" s="216" t="s">
        <v>83</v>
      </c>
      <c r="BP12" s="217"/>
      <c r="BQ12" s="216" t="s">
        <v>5</v>
      </c>
      <c r="BR12" s="218"/>
      <c r="BS12" s="80" t="s">
        <v>85</v>
      </c>
      <c r="BT12" s="80" t="s">
        <v>86</v>
      </c>
      <c r="BU12" s="225"/>
    </row>
    <row r="13" spans="1:73" ht="30" x14ac:dyDescent="0.25">
      <c r="A13" s="41" t="s">
        <v>0</v>
      </c>
      <c r="B13" s="41" t="s">
        <v>25</v>
      </c>
      <c r="C13" s="59" t="s">
        <v>13</v>
      </c>
      <c r="D13" s="90" t="s">
        <v>44</v>
      </c>
      <c r="E13" s="91" t="s">
        <v>45</v>
      </c>
      <c r="F13" s="91" t="s">
        <v>44</v>
      </c>
      <c r="G13" s="48">
        <f>IF(D13=$A$26,$B$26,(IF(D13=$A$27,$B$27,IF(D13=$A$28,$B$28,$B$29))))</f>
        <v>1</v>
      </c>
      <c r="H13" s="48">
        <f t="shared" ref="G13:I22" si="0">IF(E13=$A$26,$B$26,(IF(E13=$A$27,$B$27,IF(E13=$A$28,$B$28,$B$29))))</f>
        <v>0.66</v>
      </c>
      <c r="I13" s="48">
        <f t="shared" si="0"/>
        <v>1</v>
      </c>
      <c r="J13" s="82">
        <f>G13*$D$40+H13*$D$41+I13*$D$42</f>
        <v>14.15</v>
      </c>
      <c r="K13" s="20">
        <v>0.77</v>
      </c>
      <c r="L13" s="22">
        <v>1</v>
      </c>
      <c r="M13" s="22">
        <v>1</v>
      </c>
      <c r="N13" s="23">
        <v>1</v>
      </c>
      <c r="O13" s="20">
        <v>0.83</v>
      </c>
      <c r="P13" s="22">
        <v>1</v>
      </c>
      <c r="Q13" s="22">
        <v>1</v>
      </c>
      <c r="R13" s="23">
        <v>1</v>
      </c>
      <c r="S13" s="20">
        <v>0.44000000000000006</v>
      </c>
      <c r="T13" s="22">
        <v>0.55000000000000004</v>
      </c>
      <c r="U13" s="22">
        <v>0.77</v>
      </c>
      <c r="V13" s="23">
        <v>1</v>
      </c>
      <c r="W13" s="20">
        <v>0.47000000000000003</v>
      </c>
      <c r="X13" s="22">
        <v>0.55000000000000004</v>
      </c>
      <c r="Y13" s="22">
        <v>0.77</v>
      </c>
      <c r="Z13" s="23">
        <v>0.92</v>
      </c>
      <c r="AA13" s="20">
        <v>0.77</v>
      </c>
      <c r="AB13" s="22">
        <v>1</v>
      </c>
      <c r="AC13" s="22">
        <v>1</v>
      </c>
      <c r="AD13" s="23">
        <v>1</v>
      </c>
      <c r="AE13" s="20">
        <v>0.83</v>
      </c>
      <c r="AF13" s="22">
        <v>1</v>
      </c>
      <c r="AG13" s="22">
        <v>1</v>
      </c>
      <c r="AH13" s="23">
        <v>1</v>
      </c>
      <c r="AI13" s="20">
        <v>3.8900000000000006</v>
      </c>
      <c r="AJ13" s="22">
        <v>7</v>
      </c>
      <c r="AK13" s="22">
        <v>8</v>
      </c>
      <c r="AL13" s="23">
        <v>9.5</v>
      </c>
      <c r="AM13" s="20">
        <v>4.8099999999999987</v>
      </c>
      <c r="AN13" s="22">
        <v>7</v>
      </c>
      <c r="AO13" s="22">
        <v>8</v>
      </c>
      <c r="AP13" s="23">
        <v>9</v>
      </c>
      <c r="AQ13" s="20">
        <v>0.60499999999999998</v>
      </c>
      <c r="AR13" s="22">
        <v>1.1000000000000001</v>
      </c>
      <c r="AS13" s="22">
        <v>2.31</v>
      </c>
      <c r="AT13" s="22">
        <v>4.1549999999999994</v>
      </c>
      <c r="AU13" s="20">
        <v>0.77499999999999991</v>
      </c>
      <c r="AV13" s="22">
        <v>1.1000000000000001</v>
      </c>
      <c r="AW13" s="22">
        <v>2.31</v>
      </c>
      <c r="AX13" s="23">
        <v>3.53</v>
      </c>
      <c r="AY13" s="20">
        <v>1.9649999999999999</v>
      </c>
      <c r="AZ13" s="22">
        <v>4.5</v>
      </c>
      <c r="BA13" s="22">
        <v>5.5</v>
      </c>
      <c r="BB13" s="22">
        <v>7</v>
      </c>
      <c r="BC13" s="20">
        <v>2.7349999999999994</v>
      </c>
      <c r="BD13" s="22">
        <v>4.5</v>
      </c>
      <c r="BE13" s="22">
        <v>5.5</v>
      </c>
      <c r="BF13" s="23">
        <v>6.5</v>
      </c>
      <c r="BG13" s="20">
        <f>AI13+AQ13+AY13</f>
        <v>6.4600000000000009</v>
      </c>
      <c r="BH13" s="22">
        <f t="shared" ref="BH13:BN22" si="1">AJ13+AR13+AZ13</f>
        <v>12.6</v>
      </c>
      <c r="BI13" s="22">
        <f t="shared" si="1"/>
        <v>15.81</v>
      </c>
      <c r="BJ13" s="22">
        <f t="shared" si="1"/>
        <v>20.655000000000001</v>
      </c>
      <c r="BK13" s="20">
        <f t="shared" si="1"/>
        <v>8.3199999999999985</v>
      </c>
      <c r="BL13" s="22">
        <f t="shared" si="1"/>
        <v>12.6</v>
      </c>
      <c r="BM13" s="22">
        <f t="shared" si="1"/>
        <v>15.81</v>
      </c>
      <c r="BN13" s="22">
        <f t="shared" si="1"/>
        <v>19.03</v>
      </c>
      <c r="BO13" s="74">
        <f>BO$10*BH13+(1-BO$10)*BG13</f>
        <v>11.372</v>
      </c>
      <c r="BP13" s="189">
        <f>BO$10*BI13+(1-BO$10)*BJ13</f>
        <v>16.779</v>
      </c>
      <c r="BQ13" s="74">
        <f>BO$10*BL13+(1-BO$10)*BK13</f>
        <v>11.744</v>
      </c>
      <c r="BR13" s="75">
        <f>BO$10*BM13+(1-BO$10)*BN13</f>
        <v>16.454000000000001</v>
      </c>
      <c r="BS13" s="20">
        <f>(BO13+BP13)/2</f>
        <v>14.0755</v>
      </c>
      <c r="BT13" s="23">
        <f>(BQ13+BR13)/2</f>
        <v>14.099</v>
      </c>
      <c r="BU13" s="71">
        <f>(BS13+BT13)/2</f>
        <v>14.087250000000001</v>
      </c>
    </row>
    <row r="14" spans="1:73" x14ac:dyDescent="0.25">
      <c r="A14" s="41" t="s">
        <v>1</v>
      </c>
      <c r="B14" s="41" t="s">
        <v>14</v>
      </c>
      <c r="C14" s="59" t="s">
        <v>29</v>
      </c>
      <c r="D14" s="90" t="s">
        <v>46</v>
      </c>
      <c r="E14" s="91" t="s">
        <v>46</v>
      </c>
      <c r="F14" s="91" t="s">
        <v>45</v>
      </c>
      <c r="G14" s="48">
        <f t="shared" si="0"/>
        <v>0.33</v>
      </c>
      <c r="H14" s="48">
        <f t="shared" si="0"/>
        <v>0.33</v>
      </c>
      <c r="I14" s="48">
        <f t="shared" si="0"/>
        <v>0.66</v>
      </c>
      <c r="J14" s="82">
        <f t="shared" ref="J14:J22" si="2">G14*$D$40+H14*$D$41+I14*$D$42</f>
        <v>6.6000000000000005</v>
      </c>
      <c r="K14" s="26">
        <v>0</v>
      </c>
      <c r="L14">
        <v>0.22000000000000003</v>
      </c>
      <c r="M14">
        <v>0.44</v>
      </c>
      <c r="N14" s="27">
        <v>0.55000000000000004</v>
      </c>
      <c r="O14" s="26">
        <v>0.06</v>
      </c>
      <c r="P14">
        <v>0.22000000000000003</v>
      </c>
      <c r="Q14">
        <v>0.44</v>
      </c>
      <c r="R14" s="27">
        <v>0.52</v>
      </c>
      <c r="S14" s="26">
        <v>0</v>
      </c>
      <c r="T14">
        <v>0.22000000000000003</v>
      </c>
      <c r="U14">
        <v>0.44</v>
      </c>
      <c r="V14" s="27">
        <v>0.55000000000000004</v>
      </c>
      <c r="W14" s="26">
        <v>0.06</v>
      </c>
      <c r="X14">
        <v>0.22000000000000003</v>
      </c>
      <c r="Y14">
        <v>0.44</v>
      </c>
      <c r="Z14" s="27">
        <v>0.52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6">
        <v>0</v>
      </c>
      <c r="AJ14">
        <v>1.5400000000000003</v>
      </c>
      <c r="AK14">
        <v>3.52</v>
      </c>
      <c r="AL14" s="27">
        <v>5.0600000000000005</v>
      </c>
      <c r="AM14" s="26">
        <v>0.19999999999999996</v>
      </c>
      <c r="AN14">
        <v>1.5400000000000003</v>
      </c>
      <c r="AO14">
        <v>3.52</v>
      </c>
      <c r="AP14" s="27">
        <v>4.6000000000000014</v>
      </c>
      <c r="AQ14" s="26">
        <v>0</v>
      </c>
      <c r="AR14">
        <v>0.44000000000000006</v>
      </c>
      <c r="AS14">
        <v>1.32</v>
      </c>
      <c r="AT14">
        <v>2.3099999999999996</v>
      </c>
      <c r="AU14" s="26">
        <v>5.3999999999999992E-2</v>
      </c>
      <c r="AV14">
        <v>0.44000000000000006</v>
      </c>
      <c r="AW14">
        <v>1.32</v>
      </c>
      <c r="AX14" s="27">
        <v>2</v>
      </c>
      <c r="AY14" s="26">
        <v>1.1550000000000002</v>
      </c>
      <c r="AZ14">
        <v>2.4750000000000001</v>
      </c>
      <c r="BA14">
        <v>4.2350000000000003</v>
      </c>
      <c r="BB14">
        <v>6.6550000000000002</v>
      </c>
      <c r="BC14" s="26">
        <v>1.5650000000000008</v>
      </c>
      <c r="BD14">
        <v>2.4750000000000001</v>
      </c>
      <c r="BE14">
        <v>4.2350000000000003</v>
      </c>
      <c r="BF14" s="27">
        <v>5.830000000000001</v>
      </c>
      <c r="BG14" s="26">
        <f t="shared" ref="BG14:BG22" si="3">AI14+AQ14+AY14</f>
        <v>1.1550000000000002</v>
      </c>
      <c r="BH14">
        <f t="shared" si="1"/>
        <v>4.4550000000000001</v>
      </c>
      <c r="BI14">
        <f t="shared" si="1"/>
        <v>9.0749999999999993</v>
      </c>
      <c r="BJ14">
        <f t="shared" si="1"/>
        <v>14.025</v>
      </c>
      <c r="BK14" s="26">
        <f t="shared" si="1"/>
        <v>1.8190000000000008</v>
      </c>
      <c r="BL14">
        <f t="shared" si="1"/>
        <v>4.4550000000000001</v>
      </c>
      <c r="BM14">
        <f t="shared" si="1"/>
        <v>9.0749999999999993</v>
      </c>
      <c r="BN14">
        <f t="shared" si="1"/>
        <v>12.430000000000003</v>
      </c>
      <c r="BO14" s="76">
        <f t="shared" ref="BO14:BO22" si="4">BO$10*BH14+(1-BO$10)*BG14</f>
        <v>3.7949999999999999</v>
      </c>
      <c r="BP14" s="190">
        <f t="shared" ref="BP14:BP22" si="5">BO$10*BI14+(1-BO$10)*BJ14</f>
        <v>10.065</v>
      </c>
      <c r="BQ14" s="76">
        <f t="shared" ref="BQ14:BQ22" si="6">BO$10*BL14+(1-BO$10)*BK14</f>
        <v>3.9278</v>
      </c>
      <c r="BR14" s="77">
        <f t="shared" ref="BR14:BR22" si="7">BO$10*BM14+(1-BO$10)*BN14</f>
        <v>9.7460000000000004</v>
      </c>
      <c r="BS14" s="26">
        <f t="shared" ref="BS14:BS22" si="8">(BO14+BP14)/2</f>
        <v>6.93</v>
      </c>
      <c r="BT14" s="27">
        <f t="shared" ref="BT14:BT22" si="9">(BQ14+BR14)/2</f>
        <v>6.8369</v>
      </c>
      <c r="BU14" s="72">
        <f t="shared" ref="BU14:BU22" si="10">(BS14+BT14)/2</f>
        <v>6.8834499999999998</v>
      </c>
    </row>
    <row r="15" spans="1:73" x14ac:dyDescent="0.25">
      <c r="A15" s="41" t="s">
        <v>2</v>
      </c>
      <c r="B15" s="41" t="s">
        <v>15</v>
      </c>
      <c r="C15" s="59" t="s">
        <v>30</v>
      </c>
      <c r="D15" s="90" t="s">
        <v>45</v>
      </c>
      <c r="E15" s="91" t="s">
        <v>45</v>
      </c>
      <c r="F15" s="91" t="s">
        <v>45</v>
      </c>
      <c r="G15" s="48">
        <f t="shared" si="0"/>
        <v>0.66</v>
      </c>
      <c r="H15" s="48">
        <f t="shared" si="0"/>
        <v>0.66</v>
      </c>
      <c r="I15" s="48">
        <f t="shared" si="0"/>
        <v>0.66</v>
      </c>
      <c r="J15" s="82">
        <f t="shared" si="2"/>
        <v>9.9</v>
      </c>
      <c r="K15" s="26">
        <v>0.44000000000000006</v>
      </c>
      <c r="L15">
        <v>0.55000000000000004</v>
      </c>
      <c r="M15">
        <v>0.77</v>
      </c>
      <c r="N15" s="27">
        <v>1</v>
      </c>
      <c r="O15" s="26">
        <v>0.47000000000000003</v>
      </c>
      <c r="P15">
        <v>0.55000000000000004</v>
      </c>
      <c r="Q15">
        <v>0.77</v>
      </c>
      <c r="R15" s="27">
        <v>0.92</v>
      </c>
      <c r="S15" s="26">
        <v>0.44000000000000006</v>
      </c>
      <c r="T15">
        <v>0.55000000000000004</v>
      </c>
      <c r="U15">
        <v>0.77</v>
      </c>
      <c r="V15" s="27">
        <v>1</v>
      </c>
      <c r="W15" s="26">
        <v>0.47000000000000003</v>
      </c>
      <c r="X15">
        <v>0.55000000000000004</v>
      </c>
      <c r="Y15">
        <v>0.77</v>
      </c>
      <c r="Z15" s="27">
        <v>0.92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2.2549999999999999</v>
      </c>
      <c r="AJ15">
        <v>3.8500000000000005</v>
      </c>
      <c r="AK15">
        <v>6.16</v>
      </c>
      <c r="AL15" s="27">
        <v>9.1550000000000011</v>
      </c>
      <c r="AM15" s="26">
        <v>2.7399999999999993</v>
      </c>
      <c r="AN15">
        <v>3.8500000000000005</v>
      </c>
      <c r="AO15">
        <v>6.16</v>
      </c>
      <c r="AP15" s="27">
        <v>8.129999999999999</v>
      </c>
      <c r="AQ15" s="26">
        <v>0.60499999999999998</v>
      </c>
      <c r="AR15">
        <v>1.1000000000000001</v>
      </c>
      <c r="AS15">
        <v>2.31</v>
      </c>
      <c r="AT15">
        <v>4.1549999999999994</v>
      </c>
      <c r="AU15" s="26">
        <v>0.77499999999999991</v>
      </c>
      <c r="AV15">
        <v>1.1000000000000001</v>
      </c>
      <c r="AW15">
        <v>2.31</v>
      </c>
      <c r="AX15" s="27">
        <v>3.53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si="3"/>
        <v>4.0150000000000006</v>
      </c>
      <c r="BH15">
        <f t="shared" si="1"/>
        <v>7.4250000000000007</v>
      </c>
      <c r="BI15">
        <f t="shared" si="1"/>
        <v>12.705000000000002</v>
      </c>
      <c r="BJ15">
        <f t="shared" si="1"/>
        <v>19.965</v>
      </c>
      <c r="BK15" s="26">
        <f t="shared" si="1"/>
        <v>5.08</v>
      </c>
      <c r="BL15">
        <f t="shared" si="1"/>
        <v>7.4250000000000007</v>
      </c>
      <c r="BM15">
        <f t="shared" si="1"/>
        <v>12.705000000000002</v>
      </c>
      <c r="BN15">
        <f t="shared" si="1"/>
        <v>17.489999999999998</v>
      </c>
      <c r="BO15" s="76">
        <f t="shared" si="4"/>
        <v>6.7430000000000012</v>
      </c>
      <c r="BP15" s="190">
        <f t="shared" si="5"/>
        <v>14.157</v>
      </c>
      <c r="BQ15" s="76">
        <f t="shared" si="6"/>
        <v>6.9560000000000013</v>
      </c>
      <c r="BR15" s="77">
        <f t="shared" si="7"/>
        <v>13.662000000000001</v>
      </c>
      <c r="BS15" s="26">
        <f t="shared" si="8"/>
        <v>10.450000000000001</v>
      </c>
      <c r="BT15" s="27">
        <f t="shared" si="9"/>
        <v>10.309000000000001</v>
      </c>
      <c r="BU15" s="72">
        <f t="shared" si="10"/>
        <v>10.3795</v>
      </c>
    </row>
    <row r="16" spans="1:73" x14ac:dyDescent="0.25">
      <c r="A16" s="41" t="s">
        <v>6</v>
      </c>
      <c r="B16" s="41" t="s">
        <v>16</v>
      </c>
      <c r="C16" s="59" t="s">
        <v>17</v>
      </c>
      <c r="D16" s="90" t="s">
        <v>44</v>
      </c>
      <c r="E16" s="91" t="s">
        <v>45</v>
      </c>
      <c r="F16" s="91" t="s">
        <v>45</v>
      </c>
      <c r="G16" s="48">
        <f t="shared" si="0"/>
        <v>1</v>
      </c>
      <c r="H16" s="48">
        <f t="shared" si="0"/>
        <v>0.66</v>
      </c>
      <c r="I16" s="48">
        <f t="shared" si="0"/>
        <v>0.66</v>
      </c>
      <c r="J16" s="82">
        <f t="shared" si="2"/>
        <v>12.450000000000001</v>
      </c>
      <c r="K16" s="26">
        <v>0.77</v>
      </c>
      <c r="L16">
        <v>1</v>
      </c>
      <c r="M16">
        <v>1</v>
      </c>
      <c r="N16" s="27">
        <v>1</v>
      </c>
      <c r="O16" s="26">
        <v>0.83</v>
      </c>
      <c r="P16">
        <v>1</v>
      </c>
      <c r="Q16">
        <v>1</v>
      </c>
      <c r="R16" s="27">
        <v>1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3.8900000000000006</v>
      </c>
      <c r="AJ16">
        <v>7</v>
      </c>
      <c r="AK16">
        <v>8</v>
      </c>
      <c r="AL16" s="27">
        <v>9.5</v>
      </c>
      <c r="AM16" s="26">
        <v>4.8099999999999987</v>
      </c>
      <c r="AN16">
        <v>7</v>
      </c>
      <c r="AO16">
        <v>8</v>
      </c>
      <c r="AP16" s="27">
        <v>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5.6500000000000012</v>
      </c>
      <c r="BH16">
        <f t="shared" si="1"/>
        <v>10.574999999999999</v>
      </c>
      <c r="BI16">
        <f t="shared" si="1"/>
        <v>14.545000000000002</v>
      </c>
      <c r="BJ16">
        <f t="shared" si="1"/>
        <v>20.309999999999999</v>
      </c>
      <c r="BK16" s="26">
        <f t="shared" si="1"/>
        <v>7.15</v>
      </c>
      <c r="BL16">
        <f t="shared" si="1"/>
        <v>10.574999999999999</v>
      </c>
      <c r="BM16">
        <f t="shared" si="1"/>
        <v>14.545000000000002</v>
      </c>
      <c r="BN16">
        <f t="shared" si="1"/>
        <v>18.36</v>
      </c>
      <c r="BO16" s="76">
        <f t="shared" si="4"/>
        <v>9.59</v>
      </c>
      <c r="BP16" s="190">
        <f t="shared" si="5"/>
        <v>15.698</v>
      </c>
      <c r="BQ16" s="76">
        <f t="shared" si="6"/>
        <v>9.8899999999999988</v>
      </c>
      <c r="BR16" s="77">
        <f t="shared" si="7"/>
        <v>15.308000000000002</v>
      </c>
      <c r="BS16" s="26">
        <f t="shared" si="8"/>
        <v>12.644</v>
      </c>
      <c r="BT16" s="27">
        <f t="shared" si="9"/>
        <v>12.599</v>
      </c>
      <c r="BU16" s="72">
        <f t="shared" si="10"/>
        <v>12.621500000000001</v>
      </c>
    </row>
    <row r="17" spans="1:73" ht="30" x14ac:dyDescent="0.25">
      <c r="A17" s="41" t="s">
        <v>7</v>
      </c>
      <c r="B17" s="41" t="s">
        <v>18</v>
      </c>
      <c r="C17" s="59" t="s">
        <v>31</v>
      </c>
      <c r="D17" s="90" t="s">
        <v>45</v>
      </c>
      <c r="E17" s="91" t="s">
        <v>44</v>
      </c>
      <c r="F17" s="91" t="s">
        <v>45</v>
      </c>
      <c r="G17" s="48">
        <f t="shared" si="0"/>
        <v>0.66</v>
      </c>
      <c r="H17" s="48">
        <f t="shared" si="0"/>
        <v>1</v>
      </c>
      <c r="I17" s="48">
        <f t="shared" si="0"/>
        <v>0.66</v>
      </c>
      <c r="J17" s="82">
        <f t="shared" si="2"/>
        <v>10.75</v>
      </c>
      <c r="K17" s="26">
        <v>0.44000000000000006</v>
      </c>
      <c r="L17">
        <v>0.55000000000000004</v>
      </c>
      <c r="M17">
        <v>0.77</v>
      </c>
      <c r="N17" s="27">
        <v>1</v>
      </c>
      <c r="O17" s="26">
        <v>0.47000000000000003</v>
      </c>
      <c r="P17">
        <v>0.55000000000000004</v>
      </c>
      <c r="Q17">
        <v>0.77</v>
      </c>
      <c r="R17" s="27">
        <v>0.92</v>
      </c>
      <c r="S17" s="26">
        <v>0.77</v>
      </c>
      <c r="T17">
        <v>1</v>
      </c>
      <c r="U17">
        <v>1</v>
      </c>
      <c r="V17" s="27">
        <v>1</v>
      </c>
      <c r="W17" s="26">
        <v>0.83</v>
      </c>
      <c r="X17">
        <v>1</v>
      </c>
      <c r="Y17">
        <v>1</v>
      </c>
      <c r="Z17" s="27">
        <v>1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2.2549999999999999</v>
      </c>
      <c r="AJ17">
        <v>3.8500000000000005</v>
      </c>
      <c r="AK17">
        <v>6.16</v>
      </c>
      <c r="AL17" s="27">
        <v>9.1550000000000011</v>
      </c>
      <c r="AM17" s="26">
        <v>2.7399999999999993</v>
      </c>
      <c r="AN17">
        <v>3.8500000000000005</v>
      </c>
      <c r="AO17">
        <v>6.16</v>
      </c>
      <c r="AP17" s="27">
        <v>8.129999999999999</v>
      </c>
      <c r="AQ17" s="26">
        <v>1.04</v>
      </c>
      <c r="AR17">
        <v>2</v>
      </c>
      <c r="AS17">
        <v>3</v>
      </c>
      <c r="AT17">
        <v>4.5</v>
      </c>
      <c r="AU17" s="26">
        <v>1.3599999999999999</v>
      </c>
      <c r="AV17">
        <v>2</v>
      </c>
      <c r="AW17">
        <v>3</v>
      </c>
      <c r="AX17" s="27">
        <v>4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4.45</v>
      </c>
      <c r="BH17">
        <f t="shared" si="1"/>
        <v>8.3250000000000011</v>
      </c>
      <c r="BI17">
        <f t="shared" si="1"/>
        <v>13.395</v>
      </c>
      <c r="BJ17">
        <f t="shared" si="1"/>
        <v>20.310000000000002</v>
      </c>
      <c r="BK17" s="26">
        <f t="shared" si="1"/>
        <v>5.6650000000000009</v>
      </c>
      <c r="BL17">
        <f t="shared" si="1"/>
        <v>8.3250000000000011</v>
      </c>
      <c r="BM17">
        <f t="shared" si="1"/>
        <v>13.395</v>
      </c>
      <c r="BN17">
        <f t="shared" si="1"/>
        <v>17.96</v>
      </c>
      <c r="BO17" s="76">
        <f t="shared" si="4"/>
        <v>7.5500000000000007</v>
      </c>
      <c r="BP17" s="190">
        <f t="shared" si="5"/>
        <v>14.778</v>
      </c>
      <c r="BQ17" s="76">
        <f t="shared" si="6"/>
        <v>7.793000000000001</v>
      </c>
      <c r="BR17" s="77">
        <f t="shared" si="7"/>
        <v>14.308</v>
      </c>
      <c r="BS17" s="26">
        <f t="shared" si="8"/>
        <v>11.164000000000001</v>
      </c>
      <c r="BT17" s="27">
        <f t="shared" si="9"/>
        <v>11.0505</v>
      </c>
      <c r="BU17" s="72">
        <f t="shared" si="10"/>
        <v>11.107250000000001</v>
      </c>
    </row>
    <row r="18" spans="1:73" x14ac:dyDescent="0.25">
      <c r="A18" s="41" t="s">
        <v>8</v>
      </c>
      <c r="B18" s="41" t="s">
        <v>19</v>
      </c>
      <c r="C18" s="59" t="s">
        <v>32</v>
      </c>
      <c r="D18" s="90" t="s">
        <v>44</v>
      </c>
      <c r="E18" s="91" t="s">
        <v>45</v>
      </c>
      <c r="F18" s="91" t="s">
        <v>46</v>
      </c>
      <c r="G18" s="48">
        <f t="shared" si="0"/>
        <v>1</v>
      </c>
      <c r="H18" s="48">
        <f t="shared" si="0"/>
        <v>0.66</v>
      </c>
      <c r="I18" s="48">
        <f t="shared" si="0"/>
        <v>0.33</v>
      </c>
      <c r="J18" s="82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>
        <v>1</v>
      </c>
      <c r="R18" s="27">
        <v>1</v>
      </c>
      <c r="S18" s="26">
        <v>0.44000000000000006</v>
      </c>
      <c r="T18">
        <v>0.55000000000000004</v>
      </c>
      <c r="U18">
        <v>0.77</v>
      </c>
      <c r="V18" s="27">
        <v>1</v>
      </c>
      <c r="W18" s="26">
        <v>0.47000000000000003</v>
      </c>
      <c r="X18">
        <v>0.55000000000000004</v>
      </c>
      <c r="Y18">
        <v>0.77</v>
      </c>
      <c r="Z18" s="27">
        <v>0.92</v>
      </c>
      <c r="AA18" s="26">
        <v>0</v>
      </c>
      <c r="AB18">
        <v>0.22000000000000003</v>
      </c>
      <c r="AC18">
        <v>0.44</v>
      </c>
      <c r="AD18" s="27">
        <v>0.55000000000000004</v>
      </c>
      <c r="AE18" s="26">
        <v>0.06</v>
      </c>
      <c r="AF18">
        <v>0.22000000000000003</v>
      </c>
      <c r="AG18">
        <v>0.44</v>
      </c>
      <c r="AH18" s="27">
        <v>0.52</v>
      </c>
      <c r="AI18" s="26">
        <v>3.8900000000000006</v>
      </c>
      <c r="AJ18">
        <v>7</v>
      </c>
      <c r="AK18">
        <v>8</v>
      </c>
      <c r="AL18" s="27">
        <v>9.5</v>
      </c>
      <c r="AM18" s="26">
        <v>4.8099999999999987</v>
      </c>
      <c r="AN18">
        <v>7</v>
      </c>
      <c r="AO18">
        <v>8</v>
      </c>
      <c r="AP18" s="27">
        <v>9</v>
      </c>
      <c r="AQ18" s="26">
        <v>0.60499999999999998</v>
      </c>
      <c r="AR18">
        <v>1.1000000000000001</v>
      </c>
      <c r="AS18">
        <v>2.31</v>
      </c>
      <c r="AT18">
        <v>4.1549999999999994</v>
      </c>
      <c r="AU18" s="26">
        <v>0.77499999999999991</v>
      </c>
      <c r="AV18">
        <v>1.1000000000000001</v>
      </c>
      <c r="AW18">
        <v>2.31</v>
      </c>
      <c r="AX18" s="27">
        <v>3.53</v>
      </c>
      <c r="AY18" s="26">
        <v>0</v>
      </c>
      <c r="AZ18">
        <v>0.9900000000000001</v>
      </c>
      <c r="BA18">
        <v>2.42</v>
      </c>
      <c r="BB18">
        <v>3.6850000000000005</v>
      </c>
      <c r="BC18" s="26">
        <v>4.9999999999999933E-2</v>
      </c>
      <c r="BD18">
        <v>0.9900000000000001</v>
      </c>
      <c r="BE18">
        <v>2.42</v>
      </c>
      <c r="BF18" s="27">
        <v>3.3000000000000007</v>
      </c>
      <c r="BG18" s="26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6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6">
        <f t="shared" si="4"/>
        <v>8.1709999999999994</v>
      </c>
      <c r="BP18" s="190">
        <f t="shared" si="5"/>
        <v>13.652000000000001</v>
      </c>
      <c r="BQ18" s="76">
        <f t="shared" si="6"/>
        <v>8.3989999999999991</v>
      </c>
      <c r="BR18" s="77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2">
        <f t="shared" si="10"/>
        <v>10.893000000000001</v>
      </c>
    </row>
    <row r="19" spans="1:73" ht="30" x14ac:dyDescent="0.25">
      <c r="A19" s="41" t="s">
        <v>9</v>
      </c>
      <c r="B19" s="41" t="s">
        <v>20</v>
      </c>
      <c r="C19" s="59" t="s">
        <v>33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90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10</v>
      </c>
      <c r="B20" s="41" t="s">
        <v>21</v>
      </c>
      <c r="C20" s="59" t="s">
        <v>22</v>
      </c>
      <c r="D20" s="90" t="s">
        <v>45</v>
      </c>
      <c r="E20" s="91" t="s">
        <v>44</v>
      </c>
      <c r="F20" s="91" t="s">
        <v>44</v>
      </c>
      <c r="G20" s="48">
        <f t="shared" si="0"/>
        <v>0.66</v>
      </c>
      <c r="H20" s="48">
        <f t="shared" si="0"/>
        <v>1</v>
      </c>
      <c r="I20" s="48">
        <f t="shared" si="0"/>
        <v>1</v>
      </c>
      <c r="J20" s="82">
        <f t="shared" si="2"/>
        <v>12.45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>
        <v>0.77</v>
      </c>
      <c r="R20" s="27">
        <v>0.92</v>
      </c>
      <c r="S20" s="26">
        <v>0.77</v>
      </c>
      <c r="T20">
        <v>1</v>
      </c>
      <c r="U20">
        <v>1</v>
      </c>
      <c r="V20" s="27">
        <v>1</v>
      </c>
      <c r="W20" s="26">
        <v>0.83</v>
      </c>
      <c r="X20">
        <v>1</v>
      </c>
      <c r="Y20">
        <v>1</v>
      </c>
      <c r="Z20" s="27">
        <v>1</v>
      </c>
      <c r="AA20" s="26">
        <v>0.77</v>
      </c>
      <c r="AB20">
        <v>1</v>
      </c>
      <c r="AC20">
        <v>1</v>
      </c>
      <c r="AD20" s="27">
        <v>1</v>
      </c>
      <c r="AE20" s="26">
        <v>0.83</v>
      </c>
      <c r="AF20">
        <v>1</v>
      </c>
      <c r="AG20">
        <v>1</v>
      </c>
      <c r="AH20" s="27">
        <v>1</v>
      </c>
      <c r="AI20" s="26">
        <v>2.2549999999999999</v>
      </c>
      <c r="AJ20">
        <v>3.8500000000000005</v>
      </c>
      <c r="AK20">
        <v>6.16</v>
      </c>
      <c r="AL20" s="27">
        <v>9.1550000000000011</v>
      </c>
      <c r="AM20" s="26">
        <v>2.7399999999999993</v>
      </c>
      <c r="AN20">
        <v>3.8500000000000005</v>
      </c>
      <c r="AO20">
        <v>6.16</v>
      </c>
      <c r="AP20" s="27">
        <v>8.129999999999999</v>
      </c>
      <c r="AQ20" s="26">
        <v>1.04</v>
      </c>
      <c r="AR20">
        <v>2</v>
      </c>
      <c r="AS20">
        <v>3</v>
      </c>
      <c r="AT20">
        <v>4.5</v>
      </c>
      <c r="AU20" s="26">
        <v>1.3599999999999999</v>
      </c>
      <c r="AV20">
        <v>2</v>
      </c>
      <c r="AW20">
        <v>3</v>
      </c>
      <c r="AX20" s="27">
        <v>4</v>
      </c>
      <c r="AY20" s="26">
        <v>1.9649999999999999</v>
      </c>
      <c r="AZ20">
        <v>4.5</v>
      </c>
      <c r="BA20">
        <v>5.5</v>
      </c>
      <c r="BB20">
        <v>7</v>
      </c>
      <c r="BC20" s="26">
        <v>2.7349999999999994</v>
      </c>
      <c r="BD20">
        <v>4.5</v>
      </c>
      <c r="BE20">
        <v>5.5</v>
      </c>
      <c r="BF20" s="27">
        <v>6.5</v>
      </c>
      <c r="BG20" s="26">
        <f t="shared" si="3"/>
        <v>5.26</v>
      </c>
      <c r="BH20">
        <f t="shared" si="1"/>
        <v>10.350000000000001</v>
      </c>
      <c r="BI20">
        <f t="shared" si="1"/>
        <v>14.66</v>
      </c>
      <c r="BJ20">
        <f t="shared" si="1"/>
        <v>20.655000000000001</v>
      </c>
      <c r="BK20" s="26">
        <f t="shared" si="1"/>
        <v>6.8349999999999991</v>
      </c>
      <c r="BL20">
        <f t="shared" si="1"/>
        <v>10.350000000000001</v>
      </c>
      <c r="BM20">
        <f t="shared" si="1"/>
        <v>14.66</v>
      </c>
      <c r="BN20">
        <f t="shared" si="1"/>
        <v>18.63</v>
      </c>
      <c r="BO20" s="76">
        <f t="shared" si="4"/>
        <v>9.3320000000000007</v>
      </c>
      <c r="BP20" s="190">
        <f t="shared" si="5"/>
        <v>15.859000000000002</v>
      </c>
      <c r="BQ20" s="76">
        <f t="shared" si="6"/>
        <v>9.6470000000000002</v>
      </c>
      <c r="BR20" s="77">
        <f t="shared" si="7"/>
        <v>15.454000000000001</v>
      </c>
      <c r="BS20" s="26">
        <f t="shared" si="8"/>
        <v>12.595500000000001</v>
      </c>
      <c r="BT20" s="27">
        <f t="shared" si="9"/>
        <v>12.5505</v>
      </c>
      <c r="BU20" s="72">
        <f t="shared" si="10"/>
        <v>12.573</v>
      </c>
    </row>
    <row r="21" spans="1:73" ht="36.75" customHeight="1" x14ac:dyDescent="0.25">
      <c r="A21" s="41" t="s">
        <v>11</v>
      </c>
      <c r="B21" s="41" t="s">
        <v>23</v>
      </c>
      <c r="C21" s="59" t="s">
        <v>34</v>
      </c>
      <c r="D21" s="90" t="s">
        <v>45</v>
      </c>
      <c r="E21" s="91" t="s">
        <v>44</v>
      </c>
      <c r="F21" s="91" t="s">
        <v>45</v>
      </c>
      <c r="G21" s="48">
        <f t="shared" si="0"/>
        <v>0.66</v>
      </c>
      <c r="H21" s="48">
        <f t="shared" si="0"/>
        <v>1</v>
      </c>
      <c r="I21" s="48">
        <f t="shared" si="0"/>
        <v>0.66</v>
      </c>
      <c r="J21" s="82">
        <f t="shared" si="2"/>
        <v>10.75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0.44000000000000006</v>
      </c>
      <c r="AB21">
        <v>0.55000000000000004</v>
      </c>
      <c r="AC21">
        <v>0.77</v>
      </c>
      <c r="AD21" s="27">
        <v>1</v>
      </c>
      <c r="AE21" s="26">
        <v>0.47000000000000003</v>
      </c>
      <c r="AF21">
        <v>0.55000000000000004</v>
      </c>
      <c r="AG21">
        <v>0.77</v>
      </c>
      <c r="AH21" s="27">
        <v>0.92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1.1550000000000002</v>
      </c>
      <c r="AZ21">
        <v>2.4750000000000001</v>
      </c>
      <c r="BA21">
        <v>4.2350000000000003</v>
      </c>
      <c r="BB21">
        <v>6.6550000000000002</v>
      </c>
      <c r="BC21" s="26">
        <v>1.5650000000000008</v>
      </c>
      <c r="BD21">
        <v>2.4750000000000001</v>
      </c>
      <c r="BE21">
        <v>4.2350000000000003</v>
      </c>
      <c r="BF21" s="27">
        <v>5.830000000000001</v>
      </c>
      <c r="BG21" s="26">
        <f t="shared" si="3"/>
        <v>4.45</v>
      </c>
      <c r="BH21">
        <f t="shared" si="1"/>
        <v>8.3250000000000011</v>
      </c>
      <c r="BI21">
        <f t="shared" si="1"/>
        <v>13.395</v>
      </c>
      <c r="BJ21">
        <f t="shared" si="1"/>
        <v>20.310000000000002</v>
      </c>
      <c r="BK21" s="26">
        <f t="shared" si="1"/>
        <v>5.6650000000000009</v>
      </c>
      <c r="BL21">
        <f t="shared" si="1"/>
        <v>8.3250000000000011</v>
      </c>
      <c r="BM21">
        <f t="shared" si="1"/>
        <v>13.395</v>
      </c>
      <c r="BN21">
        <f t="shared" si="1"/>
        <v>17.96</v>
      </c>
      <c r="BO21" s="76">
        <f t="shared" si="4"/>
        <v>7.5500000000000007</v>
      </c>
      <c r="BP21" s="190">
        <f t="shared" si="5"/>
        <v>14.778</v>
      </c>
      <c r="BQ21" s="76">
        <f t="shared" si="6"/>
        <v>7.793000000000001</v>
      </c>
      <c r="BR21" s="77">
        <f t="shared" si="7"/>
        <v>14.308</v>
      </c>
      <c r="BS21" s="26">
        <f t="shared" si="8"/>
        <v>11.164000000000001</v>
      </c>
      <c r="BT21" s="27">
        <f t="shared" si="9"/>
        <v>11.0505</v>
      </c>
      <c r="BU21" s="72">
        <f t="shared" si="10"/>
        <v>11.107250000000001</v>
      </c>
    </row>
    <row r="22" spans="1:73" ht="30.75" thickBot="1" x14ac:dyDescent="0.3">
      <c r="A22" s="41" t="s">
        <v>12</v>
      </c>
      <c r="B22" s="41" t="s">
        <v>24</v>
      </c>
      <c r="C22" s="59" t="s">
        <v>35</v>
      </c>
      <c r="D22" s="92" t="s">
        <v>46</v>
      </c>
      <c r="E22" s="93" t="s">
        <v>44</v>
      </c>
      <c r="F22" s="93" t="s">
        <v>45</v>
      </c>
      <c r="G22" s="61">
        <f t="shared" si="0"/>
        <v>0.33</v>
      </c>
      <c r="H22" s="61">
        <f t="shared" si="0"/>
        <v>1</v>
      </c>
      <c r="I22" s="61">
        <f t="shared" si="0"/>
        <v>0.66</v>
      </c>
      <c r="J22" s="83">
        <f t="shared" si="2"/>
        <v>8.2750000000000004</v>
      </c>
      <c r="K22" s="30">
        <v>0</v>
      </c>
      <c r="L22" s="32">
        <v>0.22000000000000003</v>
      </c>
      <c r="M22" s="32">
        <v>0.44</v>
      </c>
      <c r="N22" s="33">
        <v>0.55000000000000004</v>
      </c>
      <c r="O22" s="30">
        <v>0.06</v>
      </c>
      <c r="P22" s="32">
        <v>0.22000000000000003</v>
      </c>
      <c r="Q22" s="32">
        <v>0.44</v>
      </c>
      <c r="R22" s="33">
        <v>0.52</v>
      </c>
      <c r="S22" s="30">
        <v>0.77</v>
      </c>
      <c r="T22" s="32">
        <v>1</v>
      </c>
      <c r="U22" s="32">
        <v>1</v>
      </c>
      <c r="V22" s="33">
        <v>1</v>
      </c>
      <c r="W22" s="30">
        <v>0.83</v>
      </c>
      <c r="X22" s="32">
        <v>1</v>
      </c>
      <c r="Y22" s="32">
        <v>1</v>
      </c>
      <c r="Z22" s="33">
        <v>1</v>
      </c>
      <c r="AA22" s="30">
        <v>0.44000000000000006</v>
      </c>
      <c r="AB22" s="32">
        <v>0.55000000000000004</v>
      </c>
      <c r="AC22" s="32">
        <v>0.77</v>
      </c>
      <c r="AD22" s="33">
        <v>1</v>
      </c>
      <c r="AE22" s="30">
        <v>0.47000000000000003</v>
      </c>
      <c r="AF22" s="32">
        <v>0.55000000000000004</v>
      </c>
      <c r="AG22" s="32">
        <v>0.77</v>
      </c>
      <c r="AH22" s="33">
        <v>0.92</v>
      </c>
      <c r="AI22" s="30">
        <v>0</v>
      </c>
      <c r="AJ22" s="32">
        <v>1.5400000000000003</v>
      </c>
      <c r="AK22" s="32">
        <v>3.52</v>
      </c>
      <c r="AL22" s="33">
        <v>5.0600000000000005</v>
      </c>
      <c r="AM22" s="30">
        <v>0.19999999999999996</v>
      </c>
      <c r="AN22" s="32">
        <v>1.5400000000000003</v>
      </c>
      <c r="AO22" s="32">
        <v>3.52</v>
      </c>
      <c r="AP22" s="33">
        <v>4.6000000000000014</v>
      </c>
      <c r="AQ22" s="30">
        <v>1.04</v>
      </c>
      <c r="AR22" s="32">
        <v>2</v>
      </c>
      <c r="AS22" s="32">
        <v>3</v>
      </c>
      <c r="AT22" s="32">
        <v>4.5</v>
      </c>
      <c r="AU22" s="30">
        <v>1.3599999999999999</v>
      </c>
      <c r="AV22" s="32">
        <v>2</v>
      </c>
      <c r="AW22" s="32">
        <v>3</v>
      </c>
      <c r="AX22" s="33">
        <v>4</v>
      </c>
      <c r="AY22" s="30">
        <v>1.1550000000000002</v>
      </c>
      <c r="AZ22" s="32">
        <v>2.4750000000000001</v>
      </c>
      <c r="BA22" s="32">
        <v>4.2350000000000003</v>
      </c>
      <c r="BB22" s="32">
        <v>6.6550000000000002</v>
      </c>
      <c r="BC22" s="30">
        <v>1.5650000000000008</v>
      </c>
      <c r="BD22" s="32">
        <v>2.4750000000000001</v>
      </c>
      <c r="BE22" s="32">
        <v>4.2350000000000003</v>
      </c>
      <c r="BF22" s="33">
        <v>5.830000000000001</v>
      </c>
      <c r="BG22" s="30">
        <f t="shared" si="3"/>
        <v>2.1950000000000003</v>
      </c>
      <c r="BH22" s="32">
        <f t="shared" si="1"/>
        <v>6.0150000000000006</v>
      </c>
      <c r="BI22" s="32">
        <f t="shared" si="1"/>
        <v>10.754999999999999</v>
      </c>
      <c r="BJ22" s="32">
        <f t="shared" si="1"/>
        <v>16.215</v>
      </c>
      <c r="BK22" s="30">
        <f t="shared" si="1"/>
        <v>3.1250000000000009</v>
      </c>
      <c r="BL22" s="32">
        <f t="shared" si="1"/>
        <v>6.0150000000000006</v>
      </c>
      <c r="BM22" s="32">
        <f t="shared" si="1"/>
        <v>10.754999999999999</v>
      </c>
      <c r="BN22" s="32">
        <f t="shared" si="1"/>
        <v>14.430000000000003</v>
      </c>
      <c r="BO22" s="78">
        <f t="shared" si="4"/>
        <v>5.2510000000000012</v>
      </c>
      <c r="BP22" s="191">
        <f t="shared" si="5"/>
        <v>11.846999999999998</v>
      </c>
      <c r="BQ22" s="78">
        <f t="shared" si="6"/>
        <v>5.4370000000000012</v>
      </c>
      <c r="BR22" s="79">
        <f t="shared" si="7"/>
        <v>11.489999999999998</v>
      </c>
      <c r="BS22" s="30">
        <f t="shared" si="8"/>
        <v>8.5489999999999995</v>
      </c>
      <c r="BT22" s="33">
        <f t="shared" si="9"/>
        <v>8.4634999999999998</v>
      </c>
      <c r="BU22" s="73">
        <f t="shared" si="10"/>
        <v>8.5062499999999996</v>
      </c>
    </row>
    <row r="23" spans="1:73" x14ac:dyDescent="0.25">
      <c r="BF23" s="192"/>
      <c r="BG23" s="193"/>
      <c r="BH23" s="193"/>
      <c r="BI23" s="193"/>
      <c r="BJ23" s="193"/>
      <c r="BK23" s="193"/>
    </row>
    <row r="24" spans="1:73" x14ac:dyDescent="0.25">
      <c r="A24" s="1" t="s">
        <v>117</v>
      </c>
      <c r="B24" s="1"/>
    </row>
    <row r="25" spans="1:73" ht="15.75" thickBot="1" x14ac:dyDescent="0.3">
      <c r="A25" s="45" t="s">
        <v>43</v>
      </c>
      <c r="B25" s="46" t="s">
        <v>55</v>
      </c>
      <c r="E25" s="50" t="s">
        <v>3</v>
      </c>
      <c r="I25" t="s">
        <v>4</v>
      </c>
    </row>
    <row r="26" spans="1:73" x14ac:dyDescent="0.25">
      <c r="A26" s="44" t="s">
        <v>47</v>
      </c>
      <c r="B26" s="2">
        <v>0</v>
      </c>
      <c r="C26" s="18">
        <v>0</v>
      </c>
      <c r="D26" s="19" t="s">
        <v>47</v>
      </c>
      <c r="E26" s="20">
        <v>0</v>
      </c>
      <c r="F26" s="21">
        <f>C26</f>
        <v>0</v>
      </c>
      <c r="G26" s="22">
        <v>0</v>
      </c>
      <c r="H26" s="23">
        <v>0.22</v>
      </c>
      <c r="I26" s="24">
        <v>0</v>
      </c>
      <c r="J26" s="22">
        <f>F26</f>
        <v>0</v>
      </c>
      <c r="K26" s="22">
        <f>G26</f>
        <v>0</v>
      </c>
      <c r="L26" s="25">
        <v>0.15</v>
      </c>
    </row>
    <row r="27" spans="1:73" x14ac:dyDescent="0.25">
      <c r="A27" s="44" t="s">
        <v>46</v>
      </c>
      <c r="B27" s="2">
        <v>0.33</v>
      </c>
      <c r="C27" s="18">
        <v>0.33</v>
      </c>
      <c r="D27" s="19" t="s">
        <v>46</v>
      </c>
      <c r="E27" s="26">
        <v>0</v>
      </c>
      <c r="F27" s="49">
        <f>C27-0.11</f>
        <v>0.22000000000000003</v>
      </c>
      <c r="G27">
        <f>C27+0.11</f>
        <v>0.44</v>
      </c>
      <c r="H27" s="27">
        <f t="shared" ref="H27" si="11">G27+0.11</f>
        <v>0.55000000000000004</v>
      </c>
      <c r="I27" s="28">
        <v>0.06</v>
      </c>
      <c r="J27">
        <f t="shared" ref="J27:K29" si="12">F27</f>
        <v>0.22000000000000003</v>
      </c>
      <c r="K27">
        <f t="shared" si="12"/>
        <v>0.44</v>
      </c>
      <c r="L27" s="29">
        <f t="shared" ref="L27" si="13">K27+0.08</f>
        <v>0.52</v>
      </c>
    </row>
    <row r="28" spans="1:73" x14ac:dyDescent="0.25">
      <c r="A28" s="44" t="s">
        <v>45</v>
      </c>
      <c r="B28" s="2">
        <v>0.66</v>
      </c>
      <c r="C28" s="18">
        <v>0.66</v>
      </c>
      <c r="D28" s="19" t="s">
        <v>45</v>
      </c>
      <c r="E28" s="26">
        <f t="shared" ref="E28" si="14">F28-0.11</f>
        <v>0.44000000000000006</v>
      </c>
      <c r="F28" s="49">
        <f t="shared" ref="F28" si="15">C28-0.11</f>
        <v>0.55000000000000004</v>
      </c>
      <c r="G28">
        <f t="shared" ref="G28" si="16">C28+0.11</f>
        <v>0.77</v>
      </c>
      <c r="H28" s="27">
        <v>1</v>
      </c>
      <c r="I28" s="28">
        <f t="shared" ref="I28" si="17">J28-0.08</f>
        <v>0.47000000000000003</v>
      </c>
      <c r="J28">
        <f t="shared" si="12"/>
        <v>0.55000000000000004</v>
      </c>
      <c r="K28">
        <f t="shared" si="12"/>
        <v>0.77</v>
      </c>
      <c r="L28" s="29">
        <v>0.92</v>
      </c>
    </row>
    <row r="29" spans="1:73" ht="15.75" thickBot="1" x14ac:dyDescent="0.3">
      <c r="A29" s="44" t="s">
        <v>44</v>
      </c>
      <c r="B29" s="2">
        <v>1</v>
      </c>
      <c r="C29" s="18">
        <v>1</v>
      </c>
      <c r="D29" s="19" t="s">
        <v>44</v>
      </c>
      <c r="E29" s="30">
        <v>0.77</v>
      </c>
      <c r="F29" s="31">
        <v>1</v>
      </c>
      <c r="G29" s="32">
        <v>1</v>
      </c>
      <c r="H29" s="33">
        <v>1</v>
      </c>
      <c r="I29" s="34">
        <v>0.83</v>
      </c>
      <c r="J29" s="32">
        <f t="shared" si="12"/>
        <v>1</v>
      </c>
      <c r="K29" s="32">
        <f t="shared" si="12"/>
        <v>1</v>
      </c>
      <c r="L29" s="35">
        <v>1</v>
      </c>
    </row>
    <row r="30" spans="1:73" x14ac:dyDescent="0.25">
      <c r="A30" s="38"/>
    </row>
    <row r="31" spans="1:73" x14ac:dyDescent="0.25">
      <c r="A31" s="1" t="s">
        <v>119</v>
      </c>
    </row>
    <row r="32" spans="1:73" ht="15.75" thickBot="1" x14ac:dyDescent="0.3">
      <c r="A32" s="45" t="s">
        <v>43</v>
      </c>
      <c r="B32" s="46" t="s">
        <v>56</v>
      </c>
      <c r="E32" s="50" t="s">
        <v>3</v>
      </c>
      <c r="I32" t="s">
        <v>4</v>
      </c>
    </row>
    <row r="33" spans="1:12" x14ac:dyDescent="0.25">
      <c r="A33" s="44" t="s">
        <v>47</v>
      </c>
      <c r="B33" s="2">
        <v>1</v>
      </c>
      <c r="C33" s="18">
        <v>1</v>
      </c>
      <c r="D33" s="19" t="s">
        <v>47</v>
      </c>
      <c r="E33" s="20">
        <v>0</v>
      </c>
      <c r="F33" s="21">
        <v>0.5</v>
      </c>
      <c r="G33" s="22">
        <v>1.5</v>
      </c>
      <c r="H33" s="23">
        <v>2</v>
      </c>
      <c r="I33" s="24">
        <v>0</v>
      </c>
      <c r="J33" s="22">
        <f>F33</f>
        <v>0.5</v>
      </c>
      <c r="K33" s="22">
        <f>G33</f>
        <v>1.5</v>
      </c>
      <c r="L33" s="25">
        <v>1.8</v>
      </c>
    </row>
    <row r="34" spans="1:12" x14ac:dyDescent="0.25">
      <c r="A34" s="44" t="s">
        <v>46</v>
      </c>
      <c r="B34" s="2">
        <v>2.5</v>
      </c>
      <c r="C34" s="18">
        <v>2.5</v>
      </c>
      <c r="D34" s="19" t="s">
        <v>46</v>
      </c>
      <c r="E34" s="26">
        <v>1.5</v>
      </c>
      <c r="F34" s="49">
        <f>C34-0.5</f>
        <v>2</v>
      </c>
      <c r="G34">
        <f>C34+0.5</f>
        <v>3</v>
      </c>
      <c r="H34" s="27">
        <f t="shared" ref="H34:H36" si="18">G34+1.5</f>
        <v>4.5</v>
      </c>
      <c r="I34" s="28">
        <v>1.7</v>
      </c>
      <c r="J34">
        <f t="shared" ref="J34:K36" si="19">F34</f>
        <v>2</v>
      </c>
      <c r="K34">
        <f t="shared" si="19"/>
        <v>3</v>
      </c>
      <c r="L34" s="29">
        <f t="shared" ref="L34:L36" si="20">K34+1</f>
        <v>4</v>
      </c>
    </row>
    <row r="35" spans="1:12" x14ac:dyDescent="0.25">
      <c r="A35" s="44" t="s">
        <v>45</v>
      </c>
      <c r="B35" s="2">
        <v>5</v>
      </c>
      <c r="C35" s="18">
        <v>5</v>
      </c>
      <c r="D35" s="19" t="s">
        <v>45</v>
      </c>
      <c r="E35" s="26">
        <f t="shared" ref="E35:E36" si="21">F35-1.5</f>
        <v>3</v>
      </c>
      <c r="F35" s="49">
        <f>C35-0.5</f>
        <v>4.5</v>
      </c>
      <c r="G35">
        <f>C35+0.5</f>
        <v>5.5</v>
      </c>
      <c r="H35" s="27">
        <f t="shared" si="18"/>
        <v>7</v>
      </c>
      <c r="I35" s="28">
        <f t="shared" ref="I35:I36" si="22">J35-1</f>
        <v>3.5</v>
      </c>
      <c r="J35">
        <f t="shared" si="19"/>
        <v>4.5</v>
      </c>
      <c r="K35">
        <f t="shared" si="19"/>
        <v>5.5</v>
      </c>
      <c r="L35" s="29">
        <f t="shared" si="20"/>
        <v>6.5</v>
      </c>
    </row>
    <row r="36" spans="1:12" ht="15.75" thickBot="1" x14ac:dyDescent="0.3">
      <c r="A36" s="44" t="s">
        <v>44</v>
      </c>
      <c r="B36" s="2">
        <v>7.5</v>
      </c>
      <c r="C36" s="18">
        <v>7.5</v>
      </c>
      <c r="D36" s="19" t="s">
        <v>44</v>
      </c>
      <c r="E36" s="30">
        <f t="shared" si="21"/>
        <v>5.5</v>
      </c>
      <c r="F36" s="31">
        <f>C36-0.5</f>
        <v>7</v>
      </c>
      <c r="G36" s="32">
        <f>C36+0.5</f>
        <v>8</v>
      </c>
      <c r="H36" s="33">
        <f t="shared" si="18"/>
        <v>9.5</v>
      </c>
      <c r="I36" s="34">
        <f t="shared" si="22"/>
        <v>6</v>
      </c>
      <c r="J36" s="32">
        <f t="shared" si="19"/>
        <v>7</v>
      </c>
      <c r="K36" s="32">
        <f t="shared" si="19"/>
        <v>8</v>
      </c>
      <c r="L36" s="35">
        <f t="shared" si="20"/>
        <v>9</v>
      </c>
    </row>
    <row r="38" spans="1:12" ht="15.75" thickBot="1" x14ac:dyDescent="0.3">
      <c r="A38" s="1" t="s">
        <v>120</v>
      </c>
    </row>
    <row r="39" spans="1:12" ht="67.5" customHeight="1" thickBot="1" x14ac:dyDescent="0.3">
      <c r="A39" s="52" t="s">
        <v>53</v>
      </c>
      <c r="B39" s="51" t="s">
        <v>39</v>
      </c>
      <c r="C39" s="53" t="s">
        <v>48</v>
      </c>
      <c r="D39" s="54" t="s">
        <v>118</v>
      </c>
      <c r="E39" s="237" t="s">
        <v>57</v>
      </c>
      <c r="F39" s="238"/>
      <c r="G39" s="238"/>
      <c r="H39" s="238"/>
      <c r="I39" s="238"/>
      <c r="J39" s="238"/>
      <c r="K39" s="238"/>
      <c r="L39" s="239"/>
    </row>
    <row r="40" spans="1:12" x14ac:dyDescent="0.25">
      <c r="A40" s="63" t="s">
        <v>50</v>
      </c>
      <c r="B40" s="55" t="s">
        <v>40</v>
      </c>
      <c r="C40" s="56" t="s">
        <v>44</v>
      </c>
      <c r="D40" s="87">
        <v>7.5</v>
      </c>
      <c r="E40" s="26">
        <v>5.5</v>
      </c>
      <c r="F40" s="49">
        <v>7</v>
      </c>
      <c r="G40">
        <v>8</v>
      </c>
      <c r="H40" s="27">
        <v>9.5</v>
      </c>
      <c r="I40" s="28">
        <v>6</v>
      </c>
      <c r="J40">
        <v>7</v>
      </c>
      <c r="K40">
        <v>8</v>
      </c>
      <c r="L40" s="29">
        <v>9</v>
      </c>
    </row>
    <row r="41" spans="1:12" x14ac:dyDescent="0.25">
      <c r="A41" s="64" t="s">
        <v>51</v>
      </c>
      <c r="B41" s="43" t="s">
        <v>41</v>
      </c>
      <c r="C41" s="2" t="s">
        <v>46</v>
      </c>
      <c r="D41" s="88">
        <v>2.5</v>
      </c>
      <c r="E41" s="26">
        <v>1.5</v>
      </c>
      <c r="F41" s="49">
        <v>2</v>
      </c>
      <c r="G41">
        <v>3</v>
      </c>
      <c r="H41" s="27">
        <v>4.5</v>
      </c>
      <c r="I41" s="28">
        <v>1.7</v>
      </c>
      <c r="J41">
        <v>2</v>
      </c>
      <c r="K41">
        <v>3</v>
      </c>
      <c r="L41" s="29">
        <v>4</v>
      </c>
    </row>
    <row r="42" spans="1:12" ht="15.75" thickBot="1" x14ac:dyDescent="0.3">
      <c r="A42" s="65" t="s">
        <v>52</v>
      </c>
      <c r="B42" s="57" t="s">
        <v>42</v>
      </c>
      <c r="C42" s="58" t="s">
        <v>45</v>
      </c>
      <c r="D42" s="89">
        <v>5</v>
      </c>
      <c r="E42" s="30">
        <v>3</v>
      </c>
      <c r="F42" s="31">
        <v>4.5</v>
      </c>
      <c r="G42" s="32">
        <v>5.5</v>
      </c>
      <c r="H42" s="33">
        <v>7</v>
      </c>
      <c r="I42" s="34">
        <v>3.5</v>
      </c>
      <c r="J42" s="32">
        <v>4.5</v>
      </c>
      <c r="K42" s="32">
        <v>5.5</v>
      </c>
      <c r="L42" s="35">
        <v>6.5</v>
      </c>
    </row>
    <row r="44" spans="1:12" ht="15.75" thickBot="1" x14ac:dyDescent="0.3">
      <c r="A44" s="1" t="s">
        <v>121</v>
      </c>
    </row>
    <row r="45" spans="1:12" ht="30.75" thickBot="1" x14ac:dyDescent="0.3">
      <c r="A45" s="66" t="s">
        <v>63</v>
      </c>
      <c r="B45" s="67" t="s">
        <v>64</v>
      </c>
      <c r="E45" s="237" t="s">
        <v>65</v>
      </c>
      <c r="F45" s="238"/>
      <c r="G45" s="238"/>
      <c r="H45" s="238"/>
      <c r="I45" s="238"/>
      <c r="J45" s="238"/>
      <c r="K45" s="238"/>
      <c r="L45" s="239"/>
    </row>
    <row r="46" spans="1:12" x14ac:dyDescent="0.25">
      <c r="A46" s="63" t="s">
        <v>60</v>
      </c>
      <c r="B46" s="68" t="s">
        <v>47</v>
      </c>
      <c r="D46" s="71" t="s">
        <v>69</v>
      </c>
      <c r="E46" s="20">
        <f>E26*F$40+E$40*F26-F26*F$40</f>
        <v>0</v>
      </c>
      <c r="F46" s="22">
        <f>F26*F$40</f>
        <v>0</v>
      </c>
      <c r="G46" s="22">
        <f>G26*G$40</f>
        <v>0</v>
      </c>
      <c r="H46" s="23">
        <f>G26*H$40+G$40*H26-G26*G$40</f>
        <v>1.76</v>
      </c>
      <c r="I46" s="20">
        <f>I26*J$40+I$40*J26-J26*J$40</f>
        <v>0</v>
      </c>
      <c r="J46" s="22">
        <f>J26*J$40</f>
        <v>0</v>
      </c>
      <c r="K46" s="22">
        <f>K26*K$40</f>
        <v>0</v>
      </c>
      <c r="L46" s="23">
        <f>K26*L$40+K$40*L26-K26*K$40</f>
        <v>1.2</v>
      </c>
    </row>
    <row r="47" spans="1:12" x14ac:dyDescent="0.25">
      <c r="A47" s="64" t="s">
        <v>60</v>
      </c>
      <c r="B47" s="69" t="s">
        <v>46</v>
      </c>
      <c r="D47" s="72" t="s">
        <v>68</v>
      </c>
      <c r="E47" s="26">
        <f>IF(E27*F$40+E$40*F27-F27*F$40&lt;0,0,E27*F$40+E$40*F27-F27*F$40)</f>
        <v>0</v>
      </c>
      <c r="F47">
        <f t="shared" ref="F47:G49" si="23">F27*F$40</f>
        <v>1.5400000000000003</v>
      </c>
      <c r="G47">
        <f t="shared" si="23"/>
        <v>3.52</v>
      </c>
      <c r="H47" s="27">
        <f t="shared" ref="H47:H49" si="24">G27*H$40+G$40*H27-G27*G$40</f>
        <v>5.0600000000000005</v>
      </c>
      <c r="I47" s="26">
        <f t="shared" ref="I47:I49" si="25">I27*J$40+I$40*J27-J27*J$40</f>
        <v>0.19999999999999996</v>
      </c>
      <c r="J47">
        <f t="shared" ref="J47:K49" si="26">J27*J$40</f>
        <v>1.5400000000000003</v>
      </c>
      <c r="K47">
        <f t="shared" si="26"/>
        <v>3.52</v>
      </c>
      <c r="L47" s="27">
        <f t="shared" ref="L47:L49" si="27">K27*L$40+K$40*L27-K27*K$40</f>
        <v>4.6000000000000014</v>
      </c>
    </row>
    <row r="48" spans="1:12" x14ac:dyDescent="0.25">
      <c r="A48" s="64" t="s">
        <v>60</v>
      </c>
      <c r="B48" s="69" t="s">
        <v>45</v>
      </c>
      <c r="D48" s="72" t="s">
        <v>67</v>
      </c>
      <c r="E48" s="26">
        <f t="shared" ref="E48:E49" si="28">E28*F$40+E$40*F28-F28*F$40</f>
        <v>2.2549999999999999</v>
      </c>
      <c r="F48">
        <f t="shared" si="23"/>
        <v>3.8500000000000005</v>
      </c>
      <c r="G48">
        <f t="shared" si="23"/>
        <v>6.16</v>
      </c>
      <c r="H48" s="27">
        <f t="shared" si="24"/>
        <v>9.1550000000000011</v>
      </c>
      <c r="I48" s="26">
        <f t="shared" si="25"/>
        <v>2.7399999999999993</v>
      </c>
      <c r="J48">
        <f t="shared" si="26"/>
        <v>3.8500000000000005</v>
      </c>
      <c r="K48">
        <f t="shared" si="26"/>
        <v>6.16</v>
      </c>
      <c r="L48" s="27">
        <f t="shared" si="27"/>
        <v>8.129999999999999</v>
      </c>
    </row>
    <row r="49" spans="1:73" ht="15.75" thickBot="1" x14ac:dyDescent="0.3">
      <c r="A49" s="65" t="s">
        <v>60</v>
      </c>
      <c r="B49" s="70" t="s">
        <v>44</v>
      </c>
      <c r="D49" s="73" t="s">
        <v>66</v>
      </c>
      <c r="E49" s="30">
        <f t="shared" si="28"/>
        <v>3.8900000000000006</v>
      </c>
      <c r="F49" s="32">
        <f t="shared" si="23"/>
        <v>7</v>
      </c>
      <c r="G49" s="32">
        <f t="shared" si="23"/>
        <v>8</v>
      </c>
      <c r="H49" s="33">
        <f t="shared" si="24"/>
        <v>9.5</v>
      </c>
      <c r="I49" s="30">
        <f t="shared" si="25"/>
        <v>4.8099999999999987</v>
      </c>
      <c r="J49" s="32">
        <f t="shared" si="26"/>
        <v>7</v>
      </c>
      <c r="K49" s="32">
        <f t="shared" si="26"/>
        <v>8</v>
      </c>
      <c r="L49" s="33">
        <f t="shared" si="27"/>
        <v>9</v>
      </c>
    </row>
    <row r="50" spans="1:73" x14ac:dyDescent="0.25">
      <c r="A50" s="63" t="s">
        <v>61</v>
      </c>
      <c r="B50" s="68" t="s">
        <v>47</v>
      </c>
      <c r="D50" s="71" t="s">
        <v>70</v>
      </c>
      <c r="E50" s="20">
        <f>E26*F$41+E$41*F26-F26*F$41</f>
        <v>0</v>
      </c>
      <c r="F50" s="22">
        <f>F26*F$41</f>
        <v>0</v>
      </c>
      <c r="G50" s="22">
        <f>G26*G$41</f>
        <v>0</v>
      </c>
      <c r="H50" s="23">
        <f>G26*H$41+G$41*H26-G26*G$41</f>
        <v>0.66</v>
      </c>
      <c r="I50" s="20">
        <f>I26*J$41+I$41*J26-J26*J$41</f>
        <v>0</v>
      </c>
      <c r="J50" s="22">
        <f>J26*J$41</f>
        <v>0</v>
      </c>
      <c r="K50" s="22">
        <f>K26*K$41</f>
        <v>0</v>
      </c>
      <c r="L50" s="23">
        <f>K26*L$41+K$41*L26-K26*K$41</f>
        <v>0.44999999999999996</v>
      </c>
    </row>
    <row r="51" spans="1:73" x14ac:dyDescent="0.25">
      <c r="A51" s="64" t="s">
        <v>61</v>
      </c>
      <c r="B51" s="69" t="s">
        <v>46</v>
      </c>
      <c r="D51" s="72" t="s">
        <v>75</v>
      </c>
      <c r="E51" s="26">
        <f>IF(E27*F$41+E$41*F27-F27*F$41&lt;0,0,E27*F$41+E$41*F27-F27*F$41)</f>
        <v>0</v>
      </c>
      <c r="F51">
        <f t="shared" ref="F51:G53" si="29">F27*F$41</f>
        <v>0.44000000000000006</v>
      </c>
      <c r="G51">
        <f t="shared" si="29"/>
        <v>1.32</v>
      </c>
      <c r="H51" s="27">
        <f t="shared" ref="H51:H53" si="30">G27*H$41+G$41*H27-G27*G$41</f>
        <v>2.3099999999999996</v>
      </c>
      <c r="I51" s="26">
        <f t="shared" ref="I51:I53" si="31">I27*J$41+I$41*J27-J27*J$41</f>
        <v>5.3999999999999992E-2</v>
      </c>
      <c r="J51">
        <f t="shared" ref="J51:K53" si="32">J27*J$41</f>
        <v>0.44000000000000006</v>
      </c>
      <c r="K51">
        <f t="shared" si="32"/>
        <v>1.32</v>
      </c>
      <c r="L51" s="27">
        <f t="shared" ref="L51:L53" si="33">K27*L$41+K$41*L27-K27*K$41</f>
        <v>2</v>
      </c>
    </row>
    <row r="52" spans="1:73" x14ac:dyDescent="0.25">
      <c r="A52" s="64" t="s">
        <v>61</v>
      </c>
      <c r="B52" s="69" t="s">
        <v>45</v>
      </c>
      <c r="D52" s="72" t="s">
        <v>76</v>
      </c>
      <c r="E52" s="26">
        <f t="shared" ref="E52:E53" si="34">E28*F$41+E$41*F28-F28*F$41</f>
        <v>0.60499999999999998</v>
      </c>
      <c r="F52">
        <f t="shared" si="29"/>
        <v>1.1000000000000001</v>
      </c>
      <c r="G52">
        <f t="shared" si="29"/>
        <v>2.31</v>
      </c>
      <c r="H52" s="27">
        <f t="shared" si="30"/>
        <v>4.1549999999999994</v>
      </c>
      <c r="I52" s="26">
        <f t="shared" si="31"/>
        <v>0.77499999999999991</v>
      </c>
      <c r="J52">
        <f t="shared" si="32"/>
        <v>1.1000000000000001</v>
      </c>
      <c r="K52">
        <f t="shared" si="32"/>
        <v>2.31</v>
      </c>
      <c r="L52" s="27">
        <f t="shared" si="33"/>
        <v>3.53</v>
      </c>
    </row>
    <row r="53" spans="1:73" ht="15.75" thickBot="1" x14ac:dyDescent="0.3">
      <c r="A53" s="65" t="s">
        <v>61</v>
      </c>
      <c r="B53" s="70" t="s">
        <v>44</v>
      </c>
      <c r="D53" s="73" t="s">
        <v>77</v>
      </c>
      <c r="E53" s="30">
        <f t="shared" si="34"/>
        <v>1.04</v>
      </c>
      <c r="F53" s="32">
        <f t="shared" si="29"/>
        <v>2</v>
      </c>
      <c r="G53" s="32">
        <f t="shared" si="29"/>
        <v>3</v>
      </c>
      <c r="H53" s="33">
        <f t="shared" si="30"/>
        <v>4.5</v>
      </c>
      <c r="I53" s="30">
        <f t="shared" si="31"/>
        <v>1.3599999999999999</v>
      </c>
      <c r="J53" s="32">
        <f t="shared" si="32"/>
        <v>2</v>
      </c>
      <c r="K53" s="32">
        <f t="shared" si="32"/>
        <v>3</v>
      </c>
      <c r="L53" s="33">
        <f t="shared" si="33"/>
        <v>4</v>
      </c>
    </row>
    <row r="54" spans="1:73" x14ac:dyDescent="0.25">
      <c r="A54" s="63" t="s">
        <v>62</v>
      </c>
      <c r="B54" s="68" t="s">
        <v>47</v>
      </c>
      <c r="D54" s="71" t="s">
        <v>72</v>
      </c>
      <c r="E54" s="26">
        <f>E26*F$42+E$42*F26-F26*F$42</f>
        <v>0</v>
      </c>
      <c r="F54">
        <f>F26*F$42</f>
        <v>0</v>
      </c>
      <c r="G54">
        <f>G26*G$42</f>
        <v>0</v>
      </c>
      <c r="H54" s="27">
        <f>G26*H$42+G$42*H26-G26*G$42</f>
        <v>1.21</v>
      </c>
      <c r="I54" s="26">
        <f>I26*J$42+I$42*J26-J26*J$42</f>
        <v>0</v>
      </c>
      <c r="J54">
        <f>J26*J$42</f>
        <v>0</v>
      </c>
      <c r="K54">
        <f>K26*K$42</f>
        <v>0</v>
      </c>
      <c r="L54" s="27">
        <f>K26*L$42+K$42*L26-K26*K$42</f>
        <v>0.82499999999999996</v>
      </c>
    </row>
    <row r="55" spans="1:73" x14ac:dyDescent="0.25">
      <c r="A55" s="64" t="s">
        <v>62</v>
      </c>
      <c r="B55" s="69" t="s">
        <v>46</v>
      </c>
      <c r="D55" s="72" t="s">
        <v>71</v>
      </c>
      <c r="E55" s="26">
        <f>IF(E27*F$42+E$42*F27-F27*F$42&lt;0,0,E27*F$42+E$42*F27-F27*F$42)</f>
        <v>0</v>
      </c>
      <c r="F55">
        <f t="shared" ref="F55:G57" si="35">F27*F$42</f>
        <v>0.9900000000000001</v>
      </c>
      <c r="G55">
        <f t="shared" si="35"/>
        <v>2.42</v>
      </c>
      <c r="H55" s="27">
        <f t="shared" ref="H55:H57" si="36">G27*H$42+G$42*H27-G27*G$42</f>
        <v>3.6850000000000005</v>
      </c>
      <c r="I55" s="26">
        <f t="shared" ref="I55:I57" si="37">I27*J$42+I$42*J27-J27*J$42</f>
        <v>4.9999999999999933E-2</v>
      </c>
      <c r="J55">
        <f t="shared" ref="J55:K57" si="38">J27*J$42</f>
        <v>0.9900000000000001</v>
      </c>
      <c r="K55">
        <f t="shared" si="38"/>
        <v>2.42</v>
      </c>
      <c r="L55" s="27">
        <f t="shared" ref="L55:L57" si="39">K27*L$42+K$42*L27-K27*K$42</f>
        <v>3.3000000000000007</v>
      </c>
    </row>
    <row r="56" spans="1:73" x14ac:dyDescent="0.25">
      <c r="A56" s="64" t="s">
        <v>62</v>
      </c>
      <c r="B56" s="69" t="s">
        <v>45</v>
      </c>
      <c r="D56" s="72" t="s">
        <v>73</v>
      </c>
      <c r="E56" s="26">
        <f t="shared" ref="E56:E57" si="40">E28*F$42+E$42*F28-F28*F$42</f>
        <v>1.1550000000000002</v>
      </c>
      <c r="F56">
        <f t="shared" si="35"/>
        <v>2.4750000000000001</v>
      </c>
      <c r="G56">
        <f t="shared" si="35"/>
        <v>4.2350000000000003</v>
      </c>
      <c r="H56" s="27">
        <f t="shared" si="36"/>
        <v>6.6550000000000002</v>
      </c>
      <c r="I56" s="26">
        <f t="shared" si="37"/>
        <v>1.5650000000000008</v>
      </c>
      <c r="J56">
        <f t="shared" si="38"/>
        <v>2.4750000000000001</v>
      </c>
      <c r="K56">
        <f t="shared" si="38"/>
        <v>4.2350000000000003</v>
      </c>
      <c r="L56" s="27">
        <f t="shared" si="39"/>
        <v>5.830000000000001</v>
      </c>
    </row>
    <row r="57" spans="1:73" ht="15.75" thickBot="1" x14ac:dyDescent="0.3">
      <c r="A57" s="65" t="s">
        <v>62</v>
      </c>
      <c r="B57" s="70" t="s">
        <v>44</v>
      </c>
      <c r="D57" s="73" t="s">
        <v>74</v>
      </c>
      <c r="E57" s="30">
        <f t="shared" si="40"/>
        <v>1.9649999999999999</v>
      </c>
      <c r="F57" s="32">
        <f t="shared" si="35"/>
        <v>4.5</v>
      </c>
      <c r="G57" s="32">
        <f t="shared" si="35"/>
        <v>5.5</v>
      </c>
      <c r="H57" s="33">
        <f t="shared" si="36"/>
        <v>7</v>
      </c>
      <c r="I57" s="30">
        <f t="shared" si="37"/>
        <v>2.7349999999999994</v>
      </c>
      <c r="J57" s="32">
        <f t="shared" si="38"/>
        <v>4.5</v>
      </c>
      <c r="K57" s="32">
        <f t="shared" si="38"/>
        <v>5.5</v>
      </c>
      <c r="L57" s="33">
        <f t="shared" si="39"/>
        <v>6.5</v>
      </c>
    </row>
    <row r="60" spans="1:73" ht="18.75" x14ac:dyDescent="0.3">
      <c r="A60" s="84" t="s">
        <v>92</v>
      </c>
      <c r="B60" s="38"/>
      <c r="C60" s="38"/>
    </row>
    <row r="61" spans="1:73" x14ac:dyDescent="0.25">
      <c r="A61" s="1" t="s">
        <v>49</v>
      </c>
      <c r="B61" s="38"/>
      <c r="C61" s="38"/>
    </row>
    <row r="62" spans="1:73" ht="15.75" thickBot="1" x14ac:dyDescent="0.3">
      <c r="A62" s="39" t="s">
        <v>97</v>
      </c>
      <c r="B62" s="38"/>
      <c r="C62" s="38"/>
      <c r="BO62">
        <v>0.8</v>
      </c>
    </row>
    <row r="63" spans="1:73" ht="86.25" customHeight="1" thickBot="1" x14ac:dyDescent="0.3">
      <c r="A63" s="242" t="s">
        <v>26</v>
      </c>
      <c r="B63" s="242" t="s">
        <v>27</v>
      </c>
      <c r="C63" s="243" t="s">
        <v>28</v>
      </c>
      <c r="D63" s="244" t="s">
        <v>58</v>
      </c>
      <c r="E63" s="245"/>
      <c r="F63" s="245"/>
      <c r="G63" s="245" t="s">
        <v>59</v>
      </c>
      <c r="H63" s="245"/>
      <c r="I63" s="245"/>
      <c r="J63" s="240" t="s">
        <v>88</v>
      </c>
      <c r="K63" s="230" t="s">
        <v>81</v>
      </c>
      <c r="L63" s="231"/>
      <c r="M63" s="231"/>
      <c r="N63" s="231"/>
      <c r="O63" s="231"/>
      <c r="P63" s="231"/>
      <c r="Q63" s="231"/>
      <c r="R63" s="232"/>
      <c r="S63" s="230" t="s">
        <v>79</v>
      </c>
      <c r="T63" s="231"/>
      <c r="U63" s="231"/>
      <c r="V63" s="231"/>
      <c r="W63" s="231"/>
      <c r="X63" s="231"/>
      <c r="Y63" s="231"/>
      <c r="Z63" s="232"/>
      <c r="AA63" s="230" t="s">
        <v>80</v>
      </c>
      <c r="AB63" s="231"/>
      <c r="AC63" s="231"/>
      <c r="AD63" s="231"/>
      <c r="AE63" s="231"/>
      <c r="AF63" s="231"/>
      <c r="AG63" s="231"/>
      <c r="AH63" s="232"/>
      <c r="AI63" s="230" t="s">
        <v>78</v>
      </c>
      <c r="AJ63" s="231"/>
      <c r="AK63" s="231"/>
      <c r="AL63" s="231"/>
      <c r="AM63" s="231"/>
      <c r="AN63" s="231"/>
      <c r="AO63" s="231"/>
      <c r="AP63" s="232"/>
      <c r="AQ63" s="230" t="s">
        <v>89</v>
      </c>
      <c r="AR63" s="231"/>
      <c r="AS63" s="231"/>
      <c r="AT63" s="231"/>
      <c r="AU63" s="231"/>
      <c r="AV63" s="231"/>
      <c r="AW63" s="231"/>
      <c r="AX63" s="232"/>
      <c r="AY63" s="230" t="s">
        <v>90</v>
      </c>
      <c r="AZ63" s="231"/>
      <c r="BA63" s="231"/>
      <c r="BB63" s="231"/>
      <c r="BC63" s="231"/>
      <c r="BD63" s="231"/>
      <c r="BE63" s="231"/>
      <c r="BF63" s="232"/>
      <c r="BG63" s="230" t="s">
        <v>132</v>
      </c>
      <c r="BH63" s="231"/>
      <c r="BI63" s="231"/>
      <c r="BJ63" s="231"/>
      <c r="BK63" s="231"/>
      <c r="BL63" s="231"/>
      <c r="BM63" s="231"/>
      <c r="BN63" s="232"/>
      <c r="BO63" s="219" t="s">
        <v>82</v>
      </c>
      <c r="BP63" s="220"/>
      <c r="BQ63" s="220"/>
      <c r="BR63" s="221"/>
      <c r="BS63" s="222" t="s">
        <v>84</v>
      </c>
      <c r="BT63" s="223"/>
      <c r="BU63" s="224" t="s">
        <v>87</v>
      </c>
    </row>
    <row r="64" spans="1:73" s="36" customFormat="1" ht="23.25" customHeight="1" thickBot="1" x14ac:dyDescent="0.3">
      <c r="A64" s="242"/>
      <c r="B64" s="242"/>
      <c r="C64" s="243"/>
      <c r="D64" s="60" t="s">
        <v>50</v>
      </c>
      <c r="E64" s="45" t="s">
        <v>51</v>
      </c>
      <c r="F64" s="45" t="s">
        <v>52</v>
      </c>
      <c r="G64" s="45" t="s">
        <v>50</v>
      </c>
      <c r="H64" s="45" t="s">
        <v>51</v>
      </c>
      <c r="I64" s="45" t="s">
        <v>52</v>
      </c>
      <c r="J64" s="241"/>
      <c r="K64" s="230" t="s">
        <v>3</v>
      </c>
      <c r="L64" s="231"/>
      <c r="M64" s="231"/>
      <c r="N64" s="232"/>
      <c r="O64" s="230" t="s">
        <v>4</v>
      </c>
      <c r="P64" s="231"/>
      <c r="Q64" s="231"/>
      <c r="R64" s="232"/>
      <c r="S64" s="230" t="s">
        <v>3</v>
      </c>
      <c r="T64" s="231"/>
      <c r="U64" s="231"/>
      <c r="V64" s="232"/>
      <c r="W64" s="230" t="s">
        <v>4</v>
      </c>
      <c r="X64" s="231"/>
      <c r="Y64" s="231"/>
      <c r="Z64" s="232"/>
      <c r="AA64" s="230" t="s">
        <v>3</v>
      </c>
      <c r="AB64" s="231"/>
      <c r="AC64" s="231"/>
      <c r="AD64" s="232"/>
      <c r="AE64" s="230" t="s">
        <v>4</v>
      </c>
      <c r="AF64" s="231"/>
      <c r="AG64" s="231"/>
      <c r="AH64" s="232"/>
      <c r="AI64" s="230" t="s">
        <v>3</v>
      </c>
      <c r="AJ64" s="231"/>
      <c r="AK64" s="231"/>
      <c r="AL64" s="232"/>
      <c r="AM64" s="230" t="s">
        <v>4</v>
      </c>
      <c r="AN64" s="231"/>
      <c r="AO64" s="231"/>
      <c r="AP64" s="232"/>
      <c r="AQ64" s="230" t="s">
        <v>3</v>
      </c>
      <c r="AR64" s="231"/>
      <c r="AS64" s="231"/>
      <c r="AT64" s="232"/>
      <c r="AU64" s="230" t="s">
        <v>4</v>
      </c>
      <c r="AV64" s="231"/>
      <c r="AW64" s="231"/>
      <c r="AX64" s="232"/>
      <c r="AY64" s="230" t="s">
        <v>3</v>
      </c>
      <c r="AZ64" s="231"/>
      <c r="BA64" s="231"/>
      <c r="BB64" s="232"/>
      <c r="BC64" s="230" t="s">
        <v>4</v>
      </c>
      <c r="BD64" s="231"/>
      <c r="BE64" s="231"/>
      <c r="BF64" s="232"/>
      <c r="BG64" s="230" t="s">
        <v>3</v>
      </c>
      <c r="BH64" s="231"/>
      <c r="BI64" s="231"/>
      <c r="BJ64" s="232"/>
      <c r="BK64" s="230" t="s">
        <v>4</v>
      </c>
      <c r="BL64" s="231"/>
      <c r="BM64" s="231"/>
      <c r="BN64" s="232"/>
      <c r="BO64" s="216" t="s">
        <v>83</v>
      </c>
      <c r="BP64" s="217"/>
      <c r="BQ64" s="216" t="s">
        <v>5</v>
      </c>
      <c r="BR64" s="218"/>
      <c r="BS64" s="80" t="s">
        <v>85</v>
      </c>
      <c r="BT64" s="80" t="s">
        <v>86</v>
      </c>
      <c r="BU64" s="225"/>
    </row>
    <row r="65" spans="1:73" ht="30" x14ac:dyDescent="0.25">
      <c r="A65" s="41" t="s">
        <v>0</v>
      </c>
      <c r="B65" s="41" t="s">
        <v>25</v>
      </c>
      <c r="C65" s="59" t="s">
        <v>13</v>
      </c>
      <c r="D65" s="91" t="s">
        <v>46</v>
      </c>
      <c r="E65" s="91" t="s">
        <v>45</v>
      </c>
      <c r="F65" s="91" t="s">
        <v>44</v>
      </c>
      <c r="G65" s="48">
        <f>IF(D65=$A$78,$B$78,(IF(D65=$A$79,$B$79,IF(D65=$A$80,$B$80,$B$81))))</f>
        <v>0.33</v>
      </c>
      <c r="H65" s="48">
        <f t="shared" ref="H65:I74" si="41">IF(E65=$A$78,$B$78,(IF(E65=$A$79,$B$79,IF(E65=$A$80,$B$80,$B$81))))</f>
        <v>0.66</v>
      </c>
      <c r="I65" s="48">
        <f t="shared" si="41"/>
        <v>1</v>
      </c>
      <c r="J65" s="82">
        <f>G65*$D$92+H65*$D$93+I65*$D$94</f>
        <v>12.425000000000001</v>
      </c>
      <c r="K65" s="20">
        <v>0</v>
      </c>
      <c r="L65" s="22">
        <v>0.22000000000000003</v>
      </c>
      <c r="M65" s="22">
        <v>0.44</v>
      </c>
      <c r="N65" s="23">
        <v>0.55000000000000004</v>
      </c>
      <c r="O65" s="20">
        <v>0.06</v>
      </c>
      <c r="P65" s="22">
        <v>0.22000000000000003</v>
      </c>
      <c r="Q65" s="22">
        <v>0.44</v>
      </c>
      <c r="R65" s="23">
        <v>0.52</v>
      </c>
      <c r="S65" s="20">
        <v>0.44000000000000006</v>
      </c>
      <c r="T65" s="22">
        <v>0.55000000000000004</v>
      </c>
      <c r="U65" s="22">
        <v>0.77</v>
      </c>
      <c r="V65" s="23">
        <v>1</v>
      </c>
      <c r="W65" s="20">
        <v>0.47000000000000003</v>
      </c>
      <c r="X65" s="22">
        <v>0.55000000000000004</v>
      </c>
      <c r="Y65" s="22">
        <v>0.77</v>
      </c>
      <c r="Z65" s="23">
        <v>0.92</v>
      </c>
      <c r="AA65" s="20">
        <v>0.77</v>
      </c>
      <c r="AB65" s="22">
        <v>1</v>
      </c>
      <c r="AC65" s="22">
        <v>1</v>
      </c>
      <c r="AD65" s="23">
        <v>1</v>
      </c>
      <c r="AE65" s="20">
        <v>0.83</v>
      </c>
      <c r="AF65" s="22">
        <v>1</v>
      </c>
      <c r="AG65" s="22">
        <v>1</v>
      </c>
      <c r="AH65" s="23">
        <v>1</v>
      </c>
      <c r="AI65" s="20">
        <v>0</v>
      </c>
      <c r="AJ65" s="22">
        <v>1.5400000000000003</v>
      </c>
      <c r="AK65" s="22">
        <v>3.52</v>
      </c>
      <c r="AL65" s="23">
        <v>5.0600000000000005</v>
      </c>
      <c r="AM65" s="20">
        <v>0.19999999999999996</v>
      </c>
      <c r="AN65" s="22">
        <v>1.5400000000000003</v>
      </c>
      <c r="AO65" s="22">
        <v>3.52</v>
      </c>
      <c r="AP65" s="23">
        <v>4.6000000000000014</v>
      </c>
      <c r="AQ65" s="20">
        <v>2.2549999999999999</v>
      </c>
      <c r="AR65" s="22">
        <v>3.8500000000000005</v>
      </c>
      <c r="AS65" s="22">
        <v>6.16</v>
      </c>
      <c r="AT65" s="22">
        <v>9.1550000000000011</v>
      </c>
      <c r="AU65" s="20">
        <v>2.7399999999999993</v>
      </c>
      <c r="AV65" s="22">
        <v>3.8500000000000005</v>
      </c>
      <c r="AW65" s="22">
        <v>6.16</v>
      </c>
      <c r="AX65" s="23">
        <v>8.129999999999999</v>
      </c>
      <c r="AY65" s="20">
        <v>1.9649999999999999</v>
      </c>
      <c r="AZ65" s="22">
        <v>4.5</v>
      </c>
      <c r="BA65" s="22">
        <v>5.5</v>
      </c>
      <c r="BB65" s="22">
        <v>7</v>
      </c>
      <c r="BC65" s="20">
        <v>2.7349999999999994</v>
      </c>
      <c r="BD65" s="22">
        <v>4.5</v>
      </c>
      <c r="BE65" s="22">
        <v>5.5</v>
      </c>
      <c r="BF65" s="23">
        <v>6.5</v>
      </c>
      <c r="BG65" s="20">
        <f>AI65+AQ65+AY65</f>
        <v>4.22</v>
      </c>
      <c r="BH65" s="22">
        <f t="shared" ref="BH65:BN74" si="42">AJ65+AR65+AZ65</f>
        <v>9.89</v>
      </c>
      <c r="BI65" s="22">
        <f t="shared" si="42"/>
        <v>15.18</v>
      </c>
      <c r="BJ65" s="22">
        <f t="shared" si="42"/>
        <v>21.215000000000003</v>
      </c>
      <c r="BK65" s="20">
        <f t="shared" si="42"/>
        <v>5.6749999999999989</v>
      </c>
      <c r="BL65" s="22">
        <f t="shared" si="42"/>
        <v>9.89</v>
      </c>
      <c r="BM65" s="22">
        <f t="shared" si="42"/>
        <v>15.18</v>
      </c>
      <c r="BN65" s="22">
        <f t="shared" si="42"/>
        <v>19.23</v>
      </c>
      <c r="BO65" s="74">
        <f>BO$10*BH65+(1-BO$10)*BG65</f>
        <v>8.7560000000000002</v>
      </c>
      <c r="BP65" s="189">
        <f>BO$10*BI65+(1-BO$10)*BJ65</f>
        <v>16.387</v>
      </c>
      <c r="BQ65" s="74">
        <f>BO$10*BL65+(1-BO$10)*BK65</f>
        <v>9.0470000000000006</v>
      </c>
      <c r="BR65" s="75">
        <f>BO$10*BM65+(1-BO$10)*BN65</f>
        <v>15.989999999999998</v>
      </c>
      <c r="BS65" s="20">
        <f>(BO65+BP65)/2</f>
        <v>12.5715</v>
      </c>
      <c r="BT65" s="23">
        <f>(BQ65+BR65)/2</f>
        <v>12.5185</v>
      </c>
      <c r="BU65" s="71">
        <f>(BS65+BT65)/2</f>
        <v>12.545</v>
      </c>
    </row>
    <row r="66" spans="1:73" x14ac:dyDescent="0.25">
      <c r="A66" s="41" t="s">
        <v>1</v>
      </c>
      <c r="B66" s="41" t="s">
        <v>14</v>
      </c>
      <c r="C66" s="59" t="s">
        <v>29</v>
      </c>
      <c r="D66" s="91" t="s">
        <v>46</v>
      </c>
      <c r="E66" s="91" t="s">
        <v>46</v>
      </c>
      <c r="F66" s="91" t="s">
        <v>45</v>
      </c>
      <c r="G66" s="48">
        <f t="shared" ref="G66:G74" si="43">IF(D66=$A$78,$B$78,(IF(D66=$A$79,$B$79,IF(D66=$A$80,$B$80,$B$81))))</f>
        <v>0.33</v>
      </c>
      <c r="H66" s="48">
        <f t="shared" si="41"/>
        <v>0.33</v>
      </c>
      <c r="I66" s="48">
        <f t="shared" si="41"/>
        <v>0.66</v>
      </c>
      <c r="J66" s="82">
        <f t="shared" ref="J66:J74" si="44">G66*$D$92+H66*$D$93+I66*$D$94</f>
        <v>8.25</v>
      </c>
      <c r="K66" s="26">
        <v>0</v>
      </c>
      <c r="L66">
        <v>0.22000000000000003</v>
      </c>
      <c r="M66">
        <v>0.44</v>
      </c>
      <c r="N66" s="27">
        <v>0.55000000000000004</v>
      </c>
      <c r="O66" s="26">
        <v>0.06</v>
      </c>
      <c r="P66">
        <v>0.22000000000000003</v>
      </c>
      <c r="Q66">
        <v>0.44</v>
      </c>
      <c r="R66" s="27">
        <v>0.52</v>
      </c>
      <c r="S66" s="26">
        <v>0</v>
      </c>
      <c r="T66">
        <v>0.22000000000000003</v>
      </c>
      <c r="U66">
        <v>0.44</v>
      </c>
      <c r="V66" s="27">
        <v>0.55000000000000004</v>
      </c>
      <c r="W66" s="26">
        <v>0.06</v>
      </c>
      <c r="X66">
        <v>0.22000000000000003</v>
      </c>
      <c r="Y66">
        <v>0.44</v>
      </c>
      <c r="Z66" s="27">
        <v>0.52</v>
      </c>
      <c r="AA66" s="26">
        <v>0.44000000000000006</v>
      </c>
      <c r="AB66">
        <v>0.55000000000000004</v>
      </c>
      <c r="AC66">
        <v>0.77</v>
      </c>
      <c r="AD66" s="27">
        <v>1</v>
      </c>
      <c r="AE66" s="26">
        <v>0.47000000000000003</v>
      </c>
      <c r="AF66">
        <v>0.55000000000000004</v>
      </c>
      <c r="AG66">
        <v>0.77</v>
      </c>
      <c r="AH66" s="27">
        <v>0.92</v>
      </c>
      <c r="AI66" s="26">
        <v>0</v>
      </c>
      <c r="AJ66">
        <v>1.5400000000000003</v>
      </c>
      <c r="AK66">
        <v>3.52</v>
      </c>
      <c r="AL66" s="27">
        <v>5.0600000000000005</v>
      </c>
      <c r="AM66" s="26">
        <v>0.19999999999999996</v>
      </c>
      <c r="AN66">
        <v>1.5400000000000003</v>
      </c>
      <c r="AO66">
        <v>3.52</v>
      </c>
      <c r="AP66" s="27">
        <v>4.6000000000000014</v>
      </c>
      <c r="AQ66" s="26">
        <v>0</v>
      </c>
      <c r="AR66">
        <v>1.5400000000000003</v>
      </c>
      <c r="AS66">
        <v>3.52</v>
      </c>
      <c r="AT66">
        <v>5.0600000000000005</v>
      </c>
      <c r="AU66" s="26">
        <v>0.19999999999999996</v>
      </c>
      <c r="AV66">
        <v>1.5400000000000003</v>
      </c>
      <c r="AW66">
        <v>3.52</v>
      </c>
      <c r="AX66" s="27">
        <v>4.6000000000000014</v>
      </c>
      <c r="AY66" s="26">
        <v>1.1550000000000002</v>
      </c>
      <c r="AZ66">
        <v>2.4750000000000001</v>
      </c>
      <c r="BA66">
        <v>4.2350000000000003</v>
      </c>
      <c r="BB66">
        <v>6.6550000000000002</v>
      </c>
      <c r="BC66" s="26">
        <v>1.5650000000000008</v>
      </c>
      <c r="BD66">
        <v>2.4750000000000001</v>
      </c>
      <c r="BE66">
        <v>4.2350000000000003</v>
      </c>
      <c r="BF66" s="27">
        <v>5.830000000000001</v>
      </c>
      <c r="BG66" s="26">
        <f t="shared" ref="BG66:BG74" si="45">AI66+AQ66+AY66</f>
        <v>1.1550000000000002</v>
      </c>
      <c r="BH66">
        <f t="shared" si="42"/>
        <v>5.5550000000000006</v>
      </c>
      <c r="BI66">
        <f t="shared" si="42"/>
        <v>11.275</v>
      </c>
      <c r="BJ66">
        <f t="shared" si="42"/>
        <v>16.775000000000002</v>
      </c>
      <c r="BK66" s="26">
        <f t="shared" si="42"/>
        <v>1.9650000000000007</v>
      </c>
      <c r="BL66">
        <f t="shared" si="42"/>
        <v>5.5550000000000006</v>
      </c>
      <c r="BM66">
        <f t="shared" si="42"/>
        <v>11.275</v>
      </c>
      <c r="BN66">
        <f t="shared" si="42"/>
        <v>15.030000000000005</v>
      </c>
      <c r="BO66" s="76">
        <f t="shared" ref="BO66:BO74" si="46">BO$10*BH66+(1-BO$10)*BG66</f>
        <v>4.6750000000000007</v>
      </c>
      <c r="BP66" s="190">
        <f t="shared" ref="BP66:BP74" si="47">BO$10*BI66+(1-BO$10)*BJ66</f>
        <v>12.375</v>
      </c>
      <c r="BQ66" s="76">
        <f t="shared" ref="BQ66:BQ74" si="48">BO$10*BL66+(1-BO$10)*BK66</f>
        <v>4.8370000000000006</v>
      </c>
      <c r="BR66" s="77">
        <f t="shared" ref="BR66:BR74" si="49">BO$10*BM66+(1-BO$10)*BN66</f>
        <v>12.026000000000002</v>
      </c>
      <c r="BS66" s="26">
        <f t="shared" ref="BS66:BS74" si="50">(BO66+BP66)/2</f>
        <v>8.5250000000000004</v>
      </c>
      <c r="BT66" s="27">
        <f t="shared" ref="BT66:BT74" si="51">(BQ66+BR66)/2</f>
        <v>8.4315000000000015</v>
      </c>
      <c r="BU66" s="72">
        <f t="shared" ref="BU66:BU74" si="52">(BS66+BT66)/2</f>
        <v>8.478250000000001</v>
      </c>
    </row>
    <row r="67" spans="1:73" x14ac:dyDescent="0.25">
      <c r="A67" s="41" t="s">
        <v>2</v>
      </c>
      <c r="B67" s="41" t="s">
        <v>15</v>
      </c>
      <c r="C67" s="59" t="s">
        <v>30</v>
      </c>
      <c r="D67" s="91" t="s">
        <v>45</v>
      </c>
      <c r="E67" s="91" t="s">
        <v>44</v>
      </c>
      <c r="F67" s="91" t="s">
        <v>45</v>
      </c>
      <c r="G67" s="48">
        <f t="shared" si="43"/>
        <v>0.66</v>
      </c>
      <c r="H67" s="48">
        <f t="shared" si="41"/>
        <v>1</v>
      </c>
      <c r="I67" s="48">
        <f t="shared" si="41"/>
        <v>0.66</v>
      </c>
      <c r="J67" s="82">
        <f t="shared" si="44"/>
        <v>15.75</v>
      </c>
      <c r="K67" s="26">
        <v>0.44000000000000006</v>
      </c>
      <c r="L67">
        <v>0.55000000000000004</v>
      </c>
      <c r="M67">
        <v>0.77</v>
      </c>
      <c r="N67" s="27">
        <v>1</v>
      </c>
      <c r="O67" s="26">
        <v>0.47000000000000003</v>
      </c>
      <c r="P67">
        <v>0.55000000000000004</v>
      </c>
      <c r="Q67">
        <v>0.77</v>
      </c>
      <c r="R67" s="27">
        <v>0.92</v>
      </c>
      <c r="S67" s="26">
        <v>0.77</v>
      </c>
      <c r="T67">
        <v>1</v>
      </c>
      <c r="U67">
        <v>1</v>
      </c>
      <c r="V67" s="27">
        <v>1</v>
      </c>
      <c r="W67" s="26">
        <v>0.83</v>
      </c>
      <c r="X67">
        <v>1</v>
      </c>
      <c r="Y67">
        <v>1</v>
      </c>
      <c r="Z67" s="27">
        <v>1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2.2549999999999999</v>
      </c>
      <c r="AJ67">
        <v>3.8500000000000005</v>
      </c>
      <c r="AK67">
        <v>6.16</v>
      </c>
      <c r="AL67" s="27">
        <v>9.1550000000000011</v>
      </c>
      <c r="AM67" s="26">
        <v>2.7399999999999993</v>
      </c>
      <c r="AN67">
        <v>3.8500000000000005</v>
      </c>
      <c r="AO67">
        <v>6.16</v>
      </c>
      <c r="AP67" s="27">
        <v>8.129999999999999</v>
      </c>
      <c r="AQ67" s="26">
        <v>3.8900000000000006</v>
      </c>
      <c r="AR67">
        <v>7</v>
      </c>
      <c r="AS67">
        <v>8</v>
      </c>
      <c r="AT67">
        <v>9.5</v>
      </c>
      <c r="AU67" s="26">
        <v>4.8099999999999987</v>
      </c>
      <c r="AV67">
        <v>7</v>
      </c>
      <c r="AW67">
        <v>8</v>
      </c>
      <c r="AX67" s="27">
        <v>9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si="45"/>
        <v>7.3000000000000007</v>
      </c>
      <c r="BH67">
        <f t="shared" si="42"/>
        <v>13.325000000000001</v>
      </c>
      <c r="BI67">
        <f t="shared" si="42"/>
        <v>18.395</v>
      </c>
      <c r="BJ67">
        <f t="shared" si="42"/>
        <v>25.310000000000002</v>
      </c>
      <c r="BK67" s="26">
        <f t="shared" si="42"/>
        <v>9.1149999999999984</v>
      </c>
      <c r="BL67">
        <f t="shared" si="42"/>
        <v>13.325000000000001</v>
      </c>
      <c r="BM67">
        <f t="shared" si="42"/>
        <v>18.395</v>
      </c>
      <c r="BN67">
        <f t="shared" si="42"/>
        <v>22.96</v>
      </c>
      <c r="BO67" s="76">
        <f t="shared" si="46"/>
        <v>12.120000000000001</v>
      </c>
      <c r="BP67" s="190">
        <f t="shared" si="47"/>
        <v>19.777999999999999</v>
      </c>
      <c r="BQ67" s="76">
        <f t="shared" si="48"/>
        <v>12.483000000000001</v>
      </c>
      <c r="BR67" s="77">
        <f t="shared" si="49"/>
        <v>19.308</v>
      </c>
      <c r="BS67" s="26">
        <f t="shared" si="50"/>
        <v>15.949</v>
      </c>
      <c r="BT67" s="27">
        <f t="shared" si="51"/>
        <v>15.8955</v>
      </c>
      <c r="BU67" s="72">
        <f t="shared" si="52"/>
        <v>15.92225</v>
      </c>
    </row>
    <row r="68" spans="1:73" x14ac:dyDescent="0.25">
      <c r="A68" s="41" t="s">
        <v>6</v>
      </c>
      <c r="B68" s="41" t="s">
        <v>16</v>
      </c>
      <c r="C68" s="59" t="s">
        <v>17</v>
      </c>
      <c r="D68" s="91" t="s">
        <v>44</v>
      </c>
      <c r="E68" s="91" t="s">
        <v>45</v>
      </c>
      <c r="F68" s="91" t="s">
        <v>46</v>
      </c>
      <c r="G68" s="48">
        <f t="shared" si="43"/>
        <v>1</v>
      </c>
      <c r="H68" s="48">
        <f t="shared" si="41"/>
        <v>0.66</v>
      </c>
      <c r="I68" s="48">
        <f t="shared" si="41"/>
        <v>0.33</v>
      </c>
      <c r="J68" s="82">
        <f t="shared" si="44"/>
        <v>14.1</v>
      </c>
      <c r="K68" s="26">
        <v>0.77</v>
      </c>
      <c r="L68">
        <v>1</v>
      </c>
      <c r="M68">
        <v>1</v>
      </c>
      <c r="N68" s="27">
        <v>1</v>
      </c>
      <c r="O68" s="26">
        <v>0.83</v>
      </c>
      <c r="P68">
        <v>1</v>
      </c>
      <c r="Q68">
        <v>1</v>
      </c>
      <c r="R68" s="27">
        <v>1</v>
      </c>
      <c r="S68" s="26">
        <v>0.44000000000000006</v>
      </c>
      <c r="T68">
        <v>0.55000000000000004</v>
      </c>
      <c r="U68">
        <v>0.77</v>
      </c>
      <c r="V68" s="27">
        <v>1</v>
      </c>
      <c r="W68" s="26">
        <v>0.47000000000000003</v>
      </c>
      <c r="X68">
        <v>0.55000000000000004</v>
      </c>
      <c r="Y68">
        <v>0.77</v>
      </c>
      <c r="Z68" s="27">
        <v>0.92</v>
      </c>
      <c r="AA68" s="26">
        <v>0</v>
      </c>
      <c r="AB68">
        <v>0.22000000000000003</v>
      </c>
      <c r="AC68">
        <v>0.44</v>
      </c>
      <c r="AD68" s="27">
        <v>0.55000000000000004</v>
      </c>
      <c r="AE68" s="26">
        <v>0.06</v>
      </c>
      <c r="AF68">
        <v>0.22000000000000003</v>
      </c>
      <c r="AG68">
        <v>0.44</v>
      </c>
      <c r="AH68" s="27">
        <v>0.52</v>
      </c>
      <c r="AI68" s="26">
        <v>3.8900000000000006</v>
      </c>
      <c r="AJ68">
        <v>7</v>
      </c>
      <c r="AK68">
        <v>8</v>
      </c>
      <c r="AL68" s="27">
        <v>9.5</v>
      </c>
      <c r="AM68" s="26">
        <v>4.8099999999999987</v>
      </c>
      <c r="AN68">
        <v>7</v>
      </c>
      <c r="AO68">
        <v>8</v>
      </c>
      <c r="AP68" s="27">
        <v>9</v>
      </c>
      <c r="AQ68" s="26">
        <v>2.2549999999999999</v>
      </c>
      <c r="AR68">
        <v>3.8500000000000005</v>
      </c>
      <c r="AS68">
        <v>6.16</v>
      </c>
      <c r="AT68">
        <v>9.1550000000000011</v>
      </c>
      <c r="AU68" s="26">
        <v>2.7399999999999993</v>
      </c>
      <c r="AV68">
        <v>3.8500000000000005</v>
      </c>
      <c r="AW68">
        <v>6.16</v>
      </c>
      <c r="AX68" s="27">
        <v>8.129999999999999</v>
      </c>
      <c r="AY68" s="26">
        <v>0</v>
      </c>
      <c r="AZ68">
        <v>0.9900000000000001</v>
      </c>
      <c r="BA68">
        <v>2.42</v>
      </c>
      <c r="BB68">
        <v>3.6850000000000005</v>
      </c>
      <c r="BC68" s="26">
        <v>4.9999999999999933E-2</v>
      </c>
      <c r="BD68">
        <v>0.9900000000000001</v>
      </c>
      <c r="BE68">
        <v>2.42</v>
      </c>
      <c r="BF68" s="27">
        <v>3.3000000000000007</v>
      </c>
      <c r="BG68" s="26">
        <f t="shared" si="45"/>
        <v>6.1450000000000005</v>
      </c>
      <c r="BH68">
        <f t="shared" si="42"/>
        <v>11.840000000000002</v>
      </c>
      <c r="BI68">
        <f t="shared" si="42"/>
        <v>16.579999999999998</v>
      </c>
      <c r="BJ68">
        <f t="shared" si="42"/>
        <v>22.340000000000003</v>
      </c>
      <c r="BK68" s="26">
        <f t="shared" si="42"/>
        <v>7.5999999999999979</v>
      </c>
      <c r="BL68">
        <f t="shared" si="42"/>
        <v>11.840000000000002</v>
      </c>
      <c r="BM68">
        <f t="shared" si="42"/>
        <v>16.579999999999998</v>
      </c>
      <c r="BN68">
        <f t="shared" si="42"/>
        <v>20.43</v>
      </c>
      <c r="BO68" s="76">
        <f t="shared" si="46"/>
        <v>10.701000000000001</v>
      </c>
      <c r="BP68" s="190">
        <f t="shared" si="47"/>
        <v>17.731999999999999</v>
      </c>
      <c r="BQ68" s="76">
        <f t="shared" si="48"/>
        <v>10.992000000000001</v>
      </c>
      <c r="BR68" s="77">
        <f t="shared" si="49"/>
        <v>17.349999999999998</v>
      </c>
      <c r="BS68" s="26">
        <f t="shared" si="50"/>
        <v>14.2165</v>
      </c>
      <c r="BT68" s="27">
        <f t="shared" si="51"/>
        <v>14.170999999999999</v>
      </c>
      <c r="BU68" s="72">
        <f t="shared" si="52"/>
        <v>14.19375</v>
      </c>
    </row>
    <row r="69" spans="1:73" ht="30" x14ac:dyDescent="0.25">
      <c r="A69" s="41" t="s">
        <v>7</v>
      </c>
      <c r="B69" s="41" t="s">
        <v>18</v>
      </c>
      <c r="C69" s="59" t="s">
        <v>31</v>
      </c>
      <c r="D69" s="91" t="s">
        <v>45</v>
      </c>
      <c r="E69" s="91" t="s">
        <v>44</v>
      </c>
      <c r="F69" s="91" t="s">
        <v>45</v>
      </c>
      <c r="G69" s="48">
        <f t="shared" si="43"/>
        <v>0.66</v>
      </c>
      <c r="H69" s="48">
        <f t="shared" si="41"/>
        <v>1</v>
      </c>
      <c r="I69" s="48">
        <f t="shared" si="41"/>
        <v>0.66</v>
      </c>
      <c r="J69" s="82">
        <f t="shared" si="44"/>
        <v>15.75</v>
      </c>
      <c r="K69" s="26">
        <v>0.44000000000000006</v>
      </c>
      <c r="L69">
        <v>0.55000000000000004</v>
      </c>
      <c r="M69">
        <v>0.77</v>
      </c>
      <c r="N69" s="27">
        <v>1</v>
      </c>
      <c r="O69" s="26">
        <v>0.47000000000000003</v>
      </c>
      <c r="P69">
        <v>0.55000000000000004</v>
      </c>
      <c r="Q69">
        <v>0.77</v>
      </c>
      <c r="R69" s="27">
        <v>0.92</v>
      </c>
      <c r="S69" s="26">
        <v>0.77</v>
      </c>
      <c r="T69">
        <v>1</v>
      </c>
      <c r="U69">
        <v>1</v>
      </c>
      <c r="V69" s="27">
        <v>1</v>
      </c>
      <c r="W69" s="26">
        <v>0.83</v>
      </c>
      <c r="X69">
        <v>1</v>
      </c>
      <c r="Y69">
        <v>1</v>
      </c>
      <c r="Z69" s="27">
        <v>1</v>
      </c>
      <c r="AA69" s="26">
        <v>0.44000000000000006</v>
      </c>
      <c r="AB69">
        <v>0.55000000000000004</v>
      </c>
      <c r="AC69">
        <v>0.77</v>
      </c>
      <c r="AD69" s="27">
        <v>1</v>
      </c>
      <c r="AE69" s="26">
        <v>0.47000000000000003</v>
      </c>
      <c r="AF69">
        <v>0.55000000000000004</v>
      </c>
      <c r="AG69">
        <v>0.77</v>
      </c>
      <c r="AH69" s="27">
        <v>0.92</v>
      </c>
      <c r="AI69" s="26">
        <v>2.2549999999999999</v>
      </c>
      <c r="AJ69">
        <v>3.8500000000000005</v>
      </c>
      <c r="AK69">
        <v>6.16</v>
      </c>
      <c r="AL69" s="27">
        <v>9.1550000000000011</v>
      </c>
      <c r="AM69" s="26">
        <v>2.7399999999999993</v>
      </c>
      <c r="AN69">
        <v>3.8500000000000005</v>
      </c>
      <c r="AO69">
        <v>6.16</v>
      </c>
      <c r="AP69" s="27">
        <v>8.129999999999999</v>
      </c>
      <c r="AQ69" s="26">
        <v>3.8900000000000006</v>
      </c>
      <c r="AR69">
        <v>7</v>
      </c>
      <c r="AS69">
        <v>8</v>
      </c>
      <c r="AT69">
        <v>9.5</v>
      </c>
      <c r="AU69" s="26">
        <v>4.8099999999999987</v>
      </c>
      <c r="AV69">
        <v>7</v>
      </c>
      <c r="AW69">
        <v>8</v>
      </c>
      <c r="AX69" s="27">
        <v>9</v>
      </c>
      <c r="AY69" s="26">
        <v>1.1550000000000002</v>
      </c>
      <c r="AZ69">
        <v>2.4750000000000001</v>
      </c>
      <c r="BA69">
        <v>4.2350000000000003</v>
      </c>
      <c r="BB69">
        <v>6.6550000000000002</v>
      </c>
      <c r="BC69" s="26">
        <v>1.5650000000000008</v>
      </c>
      <c r="BD69">
        <v>2.4750000000000001</v>
      </c>
      <c r="BE69">
        <v>4.2350000000000003</v>
      </c>
      <c r="BF69" s="27">
        <v>5.830000000000001</v>
      </c>
      <c r="BG69" s="26">
        <f t="shared" si="45"/>
        <v>7.3000000000000007</v>
      </c>
      <c r="BH69">
        <f t="shared" si="42"/>
        <v>13.325000000000001</v>
      </c>
      <c r="BI69">
        <f t="shared" si="42"/>
        <v>18.395</v>
      </c>
      <c r="BJ69">
        <f t="shared" si="42"/>
        <v>25.310000000000002</v>
      </c>
      <c r="BK69" s="26">
        <f t="shared" si="42"/>
        <v>9.1149999999999984</v>
      </c>
      <c r="BL69">
        <f t="shared" si="42"/>
        <v>13.325000000000001</v>
      </c>
      <c r="BM69">
        <f t="shared" si="42"/>
        <v>18.395</v>
      </c>
      <c r="BN69">
        <f t="shared" si="42"/>
        <v>22.96</v>
      </c>
      <c r="BO69" s="76">
        <f t="shared" si="46"/>
        <v>12.120000000000001</v>
      </c>
      <c r="BP69" s="190">
        <f t="shared" si="47"/>
        <v>19.777999999999999</v>
      </c>
      <c r="BQ69" s="76">
        <f t="shared" si="48"/>
        <v>12.483000000000001</v>
      </c>
      <c r="BR69" s="77">
        <f t="shared" si="49"/>
        <v>19.308</v>
      </c>
      <c r="BS69" s="26">
        <f t="shared" si="50"/>
        <v>15.949</v>
      </c>
      <c r="BT69" s="27">
        <f t="shared" si="51"/>
        <v>15.8955</v>
      </c>
      <c r="BU69" s="72">
        <f t="shared" si="52"/>
        <v>15.92225</v>
      </c>
    </row>
    <row r="70" spans="1:73" x14ac:dyDescent="0.25">
      <c r="A70" s="41" t="s">
        <v>8</v>
      </c>
      <c r="B70" s="41" t="s">
        <v>19</v>
      </c>
      <c r="C70" s="59" t="s">
        <v>32</v>
      </c>
      <c r="D70" s="91" t="s">
        <v>44</v>
      </c>
      <c r="E70" s="91" t="s">
        <v>45</v>
      </c>
      <c r="F70" s="91" t="s">
        <v>46</v>
      </c>
      <c r="G70" s="48">
        <f t="shared" si="43"/>
        <v>1</v>
      </c>
      <c r="H70" s="48">
        <f t="shared" si="41"/>
        <v>0.66</v>
      </c>
      <c r="I70" s="48">
        <f t="shared" si="41"/>
        <v>0.33</v>
      </c>
      <c r="J70" s="82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>
        <v>1</v>
      </c>
      <c r="R70" s="27">
        <v>1</v>
      </c>
      <c r="S70" s="26">
        <v>0.44000000000000006</v>
      </c>
      <c r="T70">
        <v>0.55000000000000004</v>
      </c>
      <c r="U70">
        <v>0.77</v>
      </c>
      <c r="V70" s="27">
        <v>1</v>
      </c>
      <c r="W70" s="26">
        <v>0.47000000000000003</v>
      </c>
      <c r="X70">
        <v>0.55000000000000004</v>
      </c>
      <c r="Y70">
        <v>0.77</v>
      </c>
      <c r="Z70" s="27">
        <v>0.92</v>
      </c>
      <c r="AA70" s="26">
        <v>0</v>
      </c>
      <c r="AB70">
        <v>0.22000000000000003</v>
      </c>
      <c r="AC70">
        <v>0.44</v>
      </c>
      <c r="AD70" s="27">
        <v>0.55000000000000004</v>
      </c>
      <c r="AE70" s="26">
        <v>0.06</v>
      </c>
      <c r="AF70">
        <v>0.22000000000000003</v>
      </c>
      <c r="AG70">
        <v>0.44</v>
      </c>
      <c r="AH70" s="27">
        <v>0.52</v>
      </c>
      <c r="AI70" s="26">
        <v>3.8900000000000006</v>
      </c>
      <c r="AJ70">
        <v>7</v>
      </c>
      <c r="AK70">
        <v>8</v>
      </c>
      <c r="AL70" s="27">
        <v>9.5</v>
      </c>
      <c r="AM70" s="26">
        <v>4.8099999999999987</v>
      </c>
      <c r="AN70">
        <v>7</v>
      </c>
      <c r="AO70">
        <v>8</v>
      </c>
      <c r="AP70" s="27">
        <v>9</v>
      </c>
      <c r="AQ70" s="26">
        <v>2.2549999999999999</v>
      </c>
      <c r="AR70">
        <v>3.8500000000000005</v>
      </c>
      <c r="AS70">
        <v>6.16</v>
      </c>
      <c r="AT70">
        <v>9.1550000000000011</v>
      </c>
      <c r="AU70" s="26">
        <v>2.7399999999999993</v>
      </c>
      <c r="AV70">
        <v>3.8500000000000005</v>
      </c>
      <c r="AW70">
        <v>6.16</v>
      </c>
      <c r="AX70" s="27">
        <v>8.129999999999999</v>
      </c>
      <c r="AY70" s="26">
        <v>0</v>
      </c>
      <c r="AZ70">
        <v>0.9900000000000001</v>
      </c>
      <c r="BA70">
        <v>2.42</v>
      </c>
      <c r="BB70">
        <v>3.6850000000000005</v>
      </c>
      <c r="BC70" s="26">
        <v>4.9999999999999933E-2</v>
      </c>
      <c r="BD70">
        <v>0.9900000000000001</v>
      </c>
      <c r="BE70">
        <v>2.42</v>
      </c>
      <c r="BF70" s="27">
        <v>3.3000000000000007</v>
      </c>
      <c r="BG70" s="26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6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6">
        <f t="shared" si="46"/>
        <v>10.701000000000001</v>
      </c>
      <c r="BP70" s="190">
        <f t="shared" si="47"/>
        <v>17.731999999999999</v>
      </c>
      <c r="BQ70" s="76">
        <f t="shared" si="48"/>
        <v>10.992000000000001</v>
      </c>
      <c r="BR70" s="77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2">
        <f t="shared" si="52"/>
        <v>14.19375</v>
      </c>
    </row>
    <row r="71" spans="1:73" ht="30" x14ac:dyDescent="0.25">
      <c r="A71" s="41" t="s">
        <v>9</v>
      </c>
      <c r="B71" s="41" t="s">
        <v>20</v>
      </c>
      <c r="C71" s="59" t="s">
        <v>33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90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10</v>
      </c>
      <c r="B72" s="41" t="s">
        <v>21</v>
      </c>
      <c r="C72" s="59" t="s">
        <v>22</v>
      </c>
      <c r="D72" s="91" t="s">
        <v>45</v>
      </c>
      <c r="E72" s="91" t="s">
        <v>46</v>
      </c>
      <c r="F72" s="91" t="s">
        <v>44</v>
      </c>
      <c r="G72" s="48">
        <f t="shared" si="43"/>
        <v>0.66</v>
      </c>
      <c r="H72" s="48">
        <f t="shared" si="41"/>
        <v>0.33</v>
      </c>
      <c r="I72" s="48">
        <f t="shared" si="41"/>
        <v>1</v>
      </c>
      <c r="J72" s="82">
        <f t="shared" si="44"/>
        <v>12.425000000000001</v>
      </c>
      <c r="K72" s="26">
        <v>0.44000000000000006</v>
      </c>
      <c r="L72">
        <v>0.55000000000000004</v>
      </c>
      <c r="M72">
        <v>0.77</v>
      </c>
      <c r="N72" s="27">
        <v>1</v>
      </c>
      <c r="O72" s="26">
        <v>0.47000000000000003</v>
      </c>
      <c r="P72">
        <v>0.55000000000000004</v>
      </c>
      <c r="Q72">
        <v>0.77</v>
      </c>
      <c r="R72" s="27">
        <v>0.92</v>
      </c>
      <c r="S72" s="26">
        <v>0</v>
      </c>
      <c r="T72">
        <v>0.22000000000000003</v>
      </c>
      <c r="U72">
        <v>0.44</v>
      </c>
      <c r="V72" s="27">
        <v>0.55000000000000004</v>
      </c>
      <c r="W72" s="26">
        <v>0.06</v>
      </c>
      <c r="X72">
        <v>0.22000000000000003</v>
      </c>
      <c r="Y72">
        <v>0.44</v>
      </c>
      <c r="Z72" s="27">
        <v>0.52</v>
      </c>
      <c r="AA72" s="26">
        <v>0.77</v>
      </c>
      <c r="AB72">
        <v>1</v>
      </c>
      <c r="AC72">
        <v>1</v>
      </c>
      <c r="AD72" s="27">
        <v>1</v>
      </c>
      <c r="AE72" s="26">
        <v>0.83</v>
      </c>
      <c r="AF72">
        <v>1</v>
      </c>
      <c r="AG72">
        <v>1</v>
      </c>
      <c r="AH72" s="27">
        <v>1</v>
      </c>
      <c r="AI72" s="26">
        <v>2.2549999999999999</v>
      </c>
      <c r="AJ72">
        <v>3.8500000000000005</v>
      </c>
      <c r="AK72">
        <v>6.16</v>
      </c>
      <c r="AL72" s="27">
        <v>9.1550000000000011</v>
      </c>
      <c r="AM72" s="26">
        <v>2.7399999999999993</v>
      </c>
      <c r="AN72">
        <v>3.8500000000000005</v>
      </c>
      <c r="AO72">
        <v>6.16</v>
      </c>
      <c r="AP72" s="27">
        <v>8.129999999999999</v>
      </c>
      <c r="AQ72" s="26">
        <v>0</v>
      </c>
      <c r="AR72">
        <v>1.5400000000000003</v>
      </c>
      <c r="AS72">
        <v>3.52</v>
      </c>
      <c r="AT72">
        <v>5.0600000000000005</v>
      </c>
      <c r="AU72" s="26">
        <v>0.19999999999999996</v>
      </c>
      <c r="AV72">
        <v>1.5400000000000003</v>
      </c>
      <c r="AW72">
        <v>3.52</v>
      </c>
      <c r="AX72" s="27">
        <v>4.6000000000000014</v>
      </c>
      <c r="AY72" s="26">
        <v>1.9649999999999999</v>
      </c>
      <c r="AZ72">
        <v>4.5</v>
      </c>
      <c r="BA72">
        <v>5.5</v>
      </c>
      <c r="BB72">
        <v>7</v>
      </c>
      <c r="BC72" s="26">
        <v>2.7349999999999994</v>
      </c>
      <c r="BD72">
        <v>4.5</v>
      </c>
      <c r="BE72">
        <v>5.5</v>
      </c>
      <c r="BF72" s="27">
        <v>6.5</v>
      </c>
      <c r="BG72" s="26">
        <f t="shared" si="45"/>
        <v>4.22</v>
      </c>
      <c r="BH72">
        <f t="shared" si="42"/>
        <v>9.89</v>
      </c>
      <c r="BI72">
        <f t="shared" si="42"/>
        <v>15.18</v>
      </c>
      <c r="BJ72">
        <f t="shared" si="42"/>
        <v>21.215000000000003</v>
      </c>
      <c r="BK72" s="26">
        <f t="shared" si="42"/>
        <v>5.6749999999999989</v>
      </c>
      <c r="BL72">
        <f t="shared" si="42"/>
        <v>9.89</v>
      </c>
      <c r="BM72">
        <f t="shared" si="42"/>
        <v>15.18</v>
      </c>
      <c r="BN72">
        <f t="shared" si="42"/>
        <v>19.23</v>
      </c>
      <c r="BO72" s="76">
        <f t="shared" si="46"/>
        <v>8.7560000000000002</v>
      </c>
      <c r="BP72" s="190">
        <f t="shared" si="47"/>
        <v>16.387</v>
      </c>
      <c r="BQ72" s="76">
        <f t="shared" si="48"/>
        <v>9.0470000000000006</v>
      </c>
      <c r="BR72" s="77">
        <f t="shared" si="49"/>
        <v>15.989999999999998</v>
      </c>
      <c r="BS72" s="26">
        <f t="shared" si="50"/>
        <v>12.5715</v>
      </c>
      <c r="BT72" s="27">
        <f t="shared" si="51"/>
        <v>12.5185</v>
      </c>
      <c r="BU72" s="72">
        <f t="shared" si="52"/>
        <v>12.545</v>
      </c>
    </row>
    <row r="73" spans="1:73" ht="36.75" customHeight="1" x14ac:dyDescent="0.25">
      <c r="A73" s="41" t="s">
        <v>11</v>
      </c>
      <c r="B73" s="41" t="s">
        <v>23</v>
      </c>
      <c r="C73" s="59" t="s">
        <v>34</v>
      </c>
      <c r="D73" s="91" t="s">
        <v>46</v>
      </c>
      <c r="E73" s="91" t="s">
        <v>44</v>
      </c>
      <c r="F73" s="91" t="s">
        <v>45</v>
      </c>
      <c r="G73" s="48">
        <f t="shared" si="43"/>
        <v>0.33</v>
      </c>
      <c r="H73" s="48">
        <f t="shared" si="41"/>
        <v>1</v>
      </c>
      <c r="I73" s="48">
        <f t="shared" si="41"/>
        <v>0.66</v>
      </c>
      <c r="J73" s="82">
        <f t="shared" si="44"/>
        <v>13.275</v>
      </c>
      <c r="K73" s="26">
        <v>0</v>
      </c>
      <c r="L73">
        <v>0.22000000000000003</v>
      </c>
      <c r="M73">
        <v>0.44</v>
      </c>
      <c r="N73" s="27">
        <v>0.55000000000000004</v>
      </c>
      <c r="O73" s="26">
        <v>0.06</v>
      </c>
      <c r="P73">
        <v>0.22000000000000003</v>
      </c>
      <c r="Q73">
        <v>0.44</v>
      </c>
      <c r="R73" s="27">
        <v>0.52</v>
      </c>
      <c r="S73" s="26">
        <v>0.77</v>
      </c>
      <c r="T73">
        <v>1</v>
      </c>
      <c r="U73">
        <v>1</v>
      </c>
      <c r="V73" s="27">
        <v>1</v>
      </c>
      <c r="W73" s="26">
        <v>0.83</v>
      </c>
      <c r="X73">
        <v>1</v>
      </c>
      <c r="Y73">
        <v>1</v>
      </c>
      <c r="Z73" s="27">
        <v>1</v>
      </c>
      <c r="AA73" s="26">
        <v>0.44000000000000006</v>
      </c>
      <c r="AB73">
        <v>0.55000000000000004</v>
      </c>
      <c r="AC73">
        <v>0.77</v>
      </c>
      <c r="AD73" s="27">
        <v>1</v>
      </c>
      <c r="AE73" s="26">
        <v>0.47000000000000003</v>
      </c>
      <c r="AF73">
        <v>0.55000000000000004</v>
      </c>
      <c r="AG73">
        <v>0.77</v>
      </c>
      <c r="AH73" s="27">
        <v>0.92</v>
      </c>
      <c r="AI73" s="26">
        <v>0</v>
      </c>
      <c r="AJ73">
        <v>1.5400000000000003</v>
      </c>
      <c r="AK73">
        <v>3.52</v>
      </c>
      <c r="AL73" s="27">
        <v>5.0600000000000005</v>
      </c>
      <c r="AM73" s="26">
        <v>0.19999999999999996</v>
      </c>
      <c r="AN73">
        <v>1.5400000000000003</v>
      </c>
      <c r="AO73">
        <v>3.52</v>
      </c>
      <c r="AP73" s="27">
        <v>4.6000000000000014</v>
      </c>
      <c r="AQ73" s="26">
        <v>3.8900000000000006</v>
      </c>
      <c r="AR73">
        <v>7</v>
      </c>
      <c r="AS73">
        <v>8</v>
      </c>
      <c r="AT73">
        <v>9.5</v>
      </c>
      <c r="AU73" s="26">
        <v>4.8099999999999987</v>
      </c>
      <c r="AV73">
        <v>7</v>
      </c>
      <c r="AW73">
        <v>8</v>
      </c>
      <c r="AX73" s="27">
        <v>9</v>
      </c>
      <c r="AY73" s="26">
        <v>1.1550000000000002</v>
      </c>
      <c r="AZ73">
        <v>2.4750000000000001</v>
      </c>
      <c r="BA73">
        <v>4.2350000000000003</v>
      </c>
      <c r="BB73">
        <v>6.6550000000000002</v>
      </c>
      <c r="BC73" s="26">
        <v>1.5650000000000008</v>
      </c>
      <c r="BD73">
        <v>2.4750000000000001</v>
      </c>
      <c r="BE73">
        <v>4.2350000000000003</v>
      </c>
      <c r="BF73" s="27">
        <v>5.830000000000001</v>
      </c>
      <c r="BG73" s="26">
        <f t="shared" si="45"/>
        <v>5.0450000000000008</v>
      </c>
      <c r="BH73">
        <f t="shared" si="42"/>
        <v>11.015000000000001</v>
      </c>
      <c r="BI73">
        <f t="shared" si="42"/>
        <v>15.754999999999999</v>
      </c>
      <c r="BJ73">
        <f t="shared" si="42"/>
        <v>21.215</v>
      </c>
      <c r="BK73" s="26">
        <f t="shared" si="42"/>
        <v>6.5749999999999993</v>
      </c>
      <c r="BL73">
        <f t="shared" si="42"/>
        <v>11.015000000000001</v>
      </c>
      <c r="BM73">
        <f t="shared" si="42"/>
        <v>15.754999999999999</v>
      </c>
      <c r="BN73">
        <f t="shared" si="42"/>
        <v>19.430000000000003</v>
      </c>
      <c r="BO73" s="76">
        <f t="shared" si="46"/>
        <v>9.8210000000000015</v>
      </c>
      <c r="BP73" s="190">
        <f t="shared" si="47"/>
        <v>16.846999999999998</v>
      </c>
      <c r="BQ73" s="76">
        <f t="shared" si="48"/>
        <v>10.127000000000001</v>
      </c>
      <c r="BR73" s="77">
        <f t="shared" si="49"/>
        <v>16.489999999999998</v>
      </c>
      <c r="BS73" s="26">
        <f t="shared" si="50"/>
        <v>13.334</v>
      </c>
      <c r="BT73" s="27">
        <f t="shared" si="51"/>
        <v>13.308499999999999</v>
      </c>
      <c r="BU73" s="72">
        <f t="shared" si="52"/>
        <v>13.321249999999999</v>
      </c>
    </row>
    <row r="74" spans="1:73" ht="30.75" thickBot="1" x14ac:dyDescent="0.3">
      <c r="A74" s="41" t="s">
        <v>12</v>
      </c>
      <c r="B74" s="41" t="s">
        <v>24</v>
      </c>
      <c r="C74" s="59" t="s">
        <v>35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30">
        <v>0</v>
      </c>
      <c r="L74" s="32">
        <v>0.22000000000000003</v>
      </c>
      <c r="M74" s="32">
        <v>0.44</v>
      </c>
      <c r="N74" s="33">
        <v>0.55000000000000004</v>
      </c>
      <c r="O74" s="30">
        <v>0.06</v>
      </c>
      <c r="P74" s="32">
        <v>0.22000000000000003</v>
      </c>
      <c r="Q74" s="32">
        <v>0.44</v>
      </c>
      <c r="R74" s="33">
        <v>0.52</v>
      </c>
      <c r="S74" s="30">
        <v>0.77</v>
      </c>
      <c r="T74" s="32">
        <v>1</v>
      </c>
      <c r="U74" s="32">
        <v>1</v>
      </c>
      <c r="V74" s="33">
        <v>1</v>
      </c>
      <c r="W74" s="30">
        <v>0.83</v>
      </c>
      <c r="X74" s="32">
        <v>1</v>
      </c>
      <c r="Y74" s="32">
        <v>1</v>
      </c>
      <c r="Z74" s="33">
        <v>1</v>
      </c>
      <c r="AA74" s="30">
        <v>0.44000000000000006</v>
      </c>
      <c r="AB74" s="32">
        <v>0.55000000000000004</v>
      </c>
      <c r="AC74" s="32">
        <v>0.77</v>
      </c>
      <c r="AD74" s="33">
        <v>1</v>
      </c>
      <c r="AE74" s="30">
        <v>0.47000000000000003</v>
      </c>
      <c r="AF74" s="32">
        <v>0.55000000000000004</v>
      </c>
      <c r="AG74" s="32">
        <v>0.77</v>
      </c>
      <c r="AH74" s="33">
        <v>0.92</v>
      </c>
      <c r="AI74" s="30">
        <v>0</v>
      </c>
      <c r="AJ74" s="32">
        <v>1.5400000000000003</v>
      </c>
      <c r="AK74" s="32">
        <v>3.52</v>
      </c>
      <c r="AL74" s="33">
        <v>5.0600000000000005</v>
      </c>
      <c r="AM74" s="30">
        <v>0.19999999999999996</v>
      </c>
      <c r="AN74" s="32">
        <v>1.5400000000000003</v>
      </c>
      <c r="AO74" s="32">
        <v>3.52</v>
      </c>
      <c r="AP74" s="33">
        <v>4.6000000000000014</v>
      </c>
      <c r="AQ74" s="30">
        <v>3.8900000000000006</v>
      </c>
      <c r="AR74" s="32">
        <v>7</v>
      </c>
      <c r="AS74" s="32">
        <v>8</v>
      </c>
      <c r="AT74" s="32">
        <v>9.5</v>
      </c>
      <c r="AU74" s="30">
        <v>4.8099999999999987</v>
      </c>
      <c r="AV74" s="32">
        <v>7</v>
      </c>
      <c r="AW74" s="32">
        <v>8</v>
      </c>
      <c r="AX74" s="33">
        <v>9</v>
      </c>
      <c r="AY74" s="30">
        <v>1.1550000000000002</v>
      </c>
      <c r="AZ74" s="32">
        <v>2.4750000000000001</v>
      </c>
      <c r="BA74" s="32">
        <v>4.2350000000000003</v>
      </c>
      <c r="BB74" s="32">
        <v>6.6550000000000002</v>
      </c>
      <c r="BC74" s="30">
        <v>1.5650000000000008</v>
      </c>
      <c r="BD74" s="32">
        <v>2.4750000000000001</v>
      </c>
      <c r="BE74" s="32">
        <v>4.2350000000000003</v>
      </c>
      <c r="BF74" s="33">
        <v>5.830000000000001</v>
      </c>
      <c r="BG74" s="30">
        <f t="shared" si="45"/>
        <v>5.0450000000000008</v>
      </c>
      <c r="BH74" s="32">
        <f t="shared" si="42"/>
        <v>11.015000000000001</v>
      </c>
      <c r="BI74" s="32">
        <f t="shared" si="42"/>
        <v>15.754999999999999</v>
      </c>
      <c r="BJ74" s="32">
        <f t="shared" si="42"/>
        <v>21.215</v>
      </c>
      <c r="BK74" s="30">
        <f t="shared" si="42"/>
        <v>6.5749999999999993</v>
      </c>
      <c r="BL74" s="32">
        <f t="shared" si="42"/>
        <v>11.015000000000001</v>
      </c>
      <c r="BM74" s="32">
        <f t="shared" si="42"/>
        <v>15.754999999999999</v>
      </c>
      <c r="BN74" s="32">
        <f t="shared" si="42"/>
        <v>19.430000000000003</v>
      </c>
      <c r="BO74" s="78">
        <f t="shared" si="46"/>
        <v>9.8210000000000015</v>
      </c>
      <c r="BP74" s="191">
        <f t="shared" si="47"/>
        <v>16.846999999999998</v>
      </c>
      <c r="BQ74" s="78">
        <f t="shared" si="48"/>
        <v>10.127000000000001</v>
      </c>
      <c r="BR74" s="79">
        <f t="shared" si="49"/>
        <v>16.489999999999998</v>
      </c>
      <c r="BS74" s="30">
        <f t="shared" si="50"/>
        <v>13.334</v>
      </c>
      <c r="BT74" s="33">
        <f t="shared" si="51"/>
        <v>13.308499999999999</v>
      </c>
      <c r="BU74" s="73">
        <f t="shared" si="52"/>
        <v>13.321249999999999</v>
      </c>
    </row>
    <row r="75" spans="1:73" x14ac:dyDescent="0.25">
      <c r="BF75" s="192"/>
      <c r="BG75" s="193"/>
      <c r="BH75" s="193"/>
      <c r="BI75" s="193"/>
      <c r="BJ75" s="193"/>
      <c r="BK75" s="193"/>
    </row>
    <row r="76" spans="1:73" x14ac:dyDescent="0.25">
      <c r="A76" s="1" t="s">
        <v>122</v>
      </c>
      <c r="B76" s="1"/>
    </row>
    <row r="77" spans="1:73" ht="15.75" thickBot="1" x14ac:dyDescent="0.3">
      <c r="A77" s="45" t="s">
        <v>43</v>
      </c>
      <c r="B77" s="46" t="s">
        <v>55</v>
      </c>
      <c r="E77" s="50" t="s">
        <v>3</v>
      </c>
      <c r="I77" t="s">
        <v>4</v>
      </c>
    </row>
    <row r="78" spans="1:73" x14ac:dyDescent="0.25">
      <c r="A78" s="44" t="s">
        <v>47</v>
      </c>
      <c r="B78" s="2">
        <v>0</v>
      </c>
      <c r="C78" s="18">
        <v>0</v>
      </c>
      <c r="D78" s="19" t="s">
        <v>47</v>
      </c>
      <c r="E78" s="20">
        <v>0</v>
      </c>
      <c r="F78" s="21">
        <f>C78</f>
        <v>0</v>
      </c>
      <c r="G78" s="22">
        <v>0</v>
      </c>
      <c r="H78" s="23">
        <v>0.22</v>
      </c>
      <c r="I78" s="24">
        <v>0</v>
      </c>
      <c r="J78" s="22">
        <f>F78</f>
        <v>0</v>
      </c>
      <c r="K78" s="22">
        <f>G78</f>
        <v>0</v>
      </c>
      <c r="L78" s="25">
        <v>0.15</v>
      </c>
    </row>
    <row r="79" spans="1:73" x14ac:dyDescent="0.25">
      <c r="A79" s="44" t="s">
        <v>46</v>
      </c>
      <c r="B79" s="2">
        <v>0.33</v>
      </c>
      <c r="C79" s="18">
        <v>0.33</v>
      </c>
      <c r="D79" s="19" t="s">
        <v>46</v>
      </c>
      <c r="E79" s="26">
        <v>0</v>
      </c>
      <c r="F79" s="49">
        <f>C79-0.11</f>
        <v>0.22000000000000003</v>
      </c>
      <c r="G79">
        <f>C79+0.11</f>
        <v>0.44</v>
      </c>
      <c r="H79" s="27">
        <f t="shared" ref="H79" si="53">G79+0.11</f>
        <v>0.55000000000000004</v>
      </c>
      <c r="I79" s="28">
        <v>0.06</v>
      </c>
      <c r="J79">
        <f t="shared" ref="J79:K81" si="54">F79</f>
        <v>0.22000000000000003</v>
      </c>
      <c r="K79">
        <f t="shared" si="54"/>
        <v>0.44</v>
      </c>
      <c r="L79" s="29">
        <f t="shared" ref="L79" si="55">K79+0.08</f>
        <v>0.52</v>
      </c>
    </row>
    <row r="80" spans="1:73" x14ac:dyDescent="0.25">
      <c r="A80" s="44" t="s">
        <v>45</v>
      </c>
      <c r="B80" s="2">
        <v>0.66</v>
      </c>
      <c r="C80" s="18">
        <v>0.66</v>
      </c>
      <c r="D80" s="19" t="s">
        <v>45</v>
      </c>
      <c r="E80" s="26">
        <f t="shared" ref="E80" si="56">F80-0.11</f>
        <v>0.44000000000000006</v>
      </c>
      <c r="F80" s="49">
        <f t="shared" ref="F80" si="57">C80-0.11</f>
        <v>0.55000000000000004</v>
      </c>
      <c r="G80">
        <f t="shared" ref="G80" si="58">C80+0.11</f>
        <v>0.77</v>
      </c>
      <c r="H80" s="27">
        <v>1</v>
      </c>
      <c r="I80" s="28">
        <f t="shared" ref="I80" si="59">J80-0.08</f>
        <v>0.47000000000000003</v>
      </c>
      <c r="J80">
        <f t="shared" si="54"/>
        <v>0.55000000000000004</v>
      </c>
      <c r="K80">
        <f t="shared" si="54"/>
        <v>0.77</v>
      </c>
      <c r="L80" s="29">
        <v>0.92</v>
      </c>
    </row>
    <row r="81" spans="1:12" ht="15.75" thickBot="1" x14ac:dyDescent="0.3">
      <c r="A81" s="44" t="s">
        <v>44</v>
      </c>
      <c r="B81" s="2">
        <v>1</v>
      </c>
      <c r="C81" s="18">
        <v>1</v>
      </c>
      <c r="D81" s="19" t="s">
        <v>44</v>
      </c>
      <c r="E81" s="30">
        <v>0.77</v>
      </c>
      <c r="F81" s="31">
        <v>1</v>
      </c>
      <c r="G81" s="32">
        <v>1</v>
      </c>
      <c r="H81" s="33">
        <v>1</v>
      </c>
      <c r="I81" s="34">
        <v>0.83</v>
      </c>
      <c r="J81" s="32">
        <f t="shared" si="54"/>
        <v>1</v>
      </c>
      <c r="K81" s="32">
        <f t="shared" si="54"/>
        <v>1</v>
      </c>
      <c r="L81" s="35">
        <v>1</v>
      </c>
    </row>
    <row r="82" spans="1:12" x14ac:dyDescent="0.25">
      <c r="A82" s="38"/>
    </row>
    <row r="83" spans="1:12" x14ac:dyDescent="0.25">
      <c r="A83" s="1" t="s">
        <v>123</v>
      </c>
    </row>
    <row r="84" spans="1:12" ht="15.75" thickBot="1" x14ac:dyDescent="0.3">
      <c r="A84" s="45" t="s">
        <v>43</v>
      </c>
      <c r="B84" s="46" t="s">
        <v>56</v>
      </c>
      <c r="E84" s="50" t="s">
        <v>3</v>
      </c>
      <c r="I84" t="s">
        <v>4</v>
      </c>
    </row>
    <row r="85" spans="1:12" x14ac:dyDescent="0.25">
      <c r="A85" s="44" t="s">
        <v>47</v>
      </c>
      <c r="B85" s="2">
        <v>1</v>
      </c>
      <c r="C85" s="18">
        <v>1</v>
      </c>
      <c r="D85" s="19" t="s">
        <v>47</v>
      </c>
      <c r="E85" s="20">
        <v>0</v>
      </c>
      <c r="F85" s="21">
        <v>0.5</v>
      </c>
      <c r="G85" s="22">
        <v>1.5</v>
      </c>
      <c r="H85" s="23">
        <v>2</v>
      </c>
      <c r="I85" s="24">
        <v>0</v>
      </c>
      <c r="J85" s="22">
        <f>F85</f>
        <v>0.5</v>
      </c>
      <c r="K85" s="22">
        <f>G85</f>
        <v>1.5</v>
      </c>
      <c r="L85" s="25">
        <v>1.8</v>
      </c>
    </row>
    <row r="86" spans="1:12" x14ac:dyDescent="0.25">
      <c r="A86" s="44" t="s">
        <v>46</v>
      </c>
      <c r="B86" s="2">
        <v>2.5</v>
      </c>
      <c r="C86" s="18">
        <v>2.5</v>
      </c>
      <c r="D86" s="19" t="s">
        <v>46</v>
      </c>
      <c r="E86" s="26">
        <v>1.5</v>
      </c>
      <c r="F86" s="49">
        <f>C86-0.5</f>
        <v>2</v>
      </c>
      <c r="G86">
        <f>C86+0.5</f>
        <v>3</v>
      </c>
      <c r="H86" s="27">
        <f t="shared" ref="H86:H88" si="60">G86+1.5</f>
        <v>4.5</v>
      </c>
      <c r="I86" s="28">
        <v>1.7</v>
      </c>
      <c r="J86">
        <f t="shared" ref="J86:K88" si="61">F86</f>
        <v>2</v>
      </c>
      <c r="K86">
        <f t="shared" si="61"/>
        <v>3</v>
      </c>
      <c r="L86" s="29">
        <f t="shared" ref="L86:L88" si="62">K86+1</f>
        <v>4</v>
      </c>
    </row>
    <row r="87" spans="1:12" x14ac:dyDescent="0.25">
      <c r="A87" s="44" t="s">
        <v>45</v>
      </c>
      <c r="B87" s="2">
        <v>5</v>
      </c>
      <c r="C87" s="18">
        <v>5</v>
      </c>
      <c r="D87" s="19" t="s">
        <v>45</v>
      </c>
      <c r="E87" s="26">
        <f t="shared" ref="E87:E88" si="63">F87-1.5</f>
        <v>3</v>
      </c>
      <c r="F87" s="49">
        <f>C87-0.5</f>
        <v>4.5</v>
      </c>
      <c r="G87">
        <f>C87+0.5</f>
        <v>5.5</v>
      </c>
      <c r="H87" s="27">
        <f t="shared" si="60"/>
        <v>7</v>
      </c>
      <c r="I87" s="28">
        <f t="shared" ref="I87:I88" si="64">J87-1</f>
        <v>3.5</v>
      </c>
      <c r="J87">
        <f t="shared" si="61"/>
        <v>4.5</v>
      </c>
      <c r="K87">
        <f t="shared" si="61"/>
        <v>5.5</v>
      </c>
      <c r="L87" s="29">
        <f t="shared" si="62"/>
        <v>6.5</v>
      </c>
    </row>
    <row r="88" spans="1:12" ht="15.75" thickBot="1" x14ac:dyDescent="0.3">
      <c r="A88" s="44" t="s">
        <v>44</v>
      </c>
      <c r="B88" s="2">
        <v>7.5</v>
      </c>
      <c r="C88" s="18">
        <v>7.5</v>
      </c>
      <c r="D88" s="19" t="s">
        <v>44</v>
      </c>
      <c r="E88" s="30">
        <f t="shared" si="63"/>
        <v>5.5</v>
      </c>
      <c r="F88" s="31">
        <f>C88-0.5</f>
        <v>7</v>
      </c>
      <c r="G88" s="32">
        <f>C88+0.5</f>
        <v>8</v>
      </c>
      <c r="H88" s="33">
        <f t="shared" si="60"/>
        <v>9.5</v>
      </c>
      <c r="I88" s="34">
        <f t="shared" si="64"/>
        <v>6</v>
      </c>
      <c r="J88" s="32">
        <f t="shared" si="61"/>
        <v>7</v>
      </c>
      <c r="K88" s="32">
        <f t="shared" si="61"/>
        <v>8</v>
      </c>
      <c r="L88" s="35">
        <f t="shared" si="62"/>
        <v>9</v>
      </c>
    </row>
    <row r="90" spans="1:12" ht="15.75" thickBot="1" x14ac:dyDescent="0.3">
      <c r="A90" s="1" t="s">
        <v>124</v>
      </c>
    </row>
    <row r="91" spans="1:12" ht="67.5" customHeight="1" thickBot="1" x14ac:dyDescent="0.3">
      <c r="A91" s="52" t="s">
        <v>53</v>
      </c>
      <c r="B91" s="51" t="s">
        <v>39</v>
      </c>
      <c r="C91" s="53" t="s">
        <v>48</v>
      </c>
      <c r="D91" s="54" t="s">
        <v>125</v>
      </c>
      <c r="E91" s="237" t="s">
        <v>57</v>
      </c>
      <c r="F91" s="238"/>
      <c r="G91" s="238"/>
      <c r="H91" s="238"/>
      <c r="I91" s="238"/>
      <c r="J91" s="238"/>
      <c r="K91" s="238"/>
      <c r="L91" s="239"/>
    </row>
    <row r="92" spans="1:12" x14ac:dyDescent="0.25">
      <c r="A92" s="63" t="s">
        <v>50</v>
      </c>
      <c r="B92" s="55" t="s">
        <v>40</v>
      </c>
      <c r="C92" s="56" t="s">
        <v>44</v>
      </c>
      <c r="D92" s="85">
        <v>7.5</v>
      </c>
      <c r="E92" s="26">
        <v>5.5</v>
      </c>
      <c r="F92" s="49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x14ac:dyDescent="0.25">
      <c r="A93" s="64" t="s">
        <v>51</v>
      </c>
      <c r="B93" s="43" t="s">
        <v>41</v>
      </c>
      <c r="C93" s="2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ht="15.75" thickBot="1" x14ac:dyDescent="0.3">
      <c r="A94" s="65" t="s">
        <v>52</v>
      </c>
      <c r="B94" s="57" t="s">
        <v>42</v>
      </c>
      <c r="C94" s="58" t="s">
        <v>45</v>
      </c>
      <c r="D94" s="85">
        <v>5</v>
      </c>
      <c r="E94" s="30">
        <v>3</v>
      </c>
      <c r="F94" s="31">
        <v>4.5</v>
      </c>
      <c r="G94" s="32">
        <v>5.5</v>
      </c>
      <c r="H94" s="33">
        <v>7</v>
      </c>
      <c r="I94" s="34">
        <v>3.5</v>
      </c>
      <c r="J94" s="32">
        <v>4.5</v>
      </c>
      <c r="K94" s="32">
        <v>5.5</v>
      </c>
      <c r="L94" s="35">
        <v>6.5</v>
      </c>
    </row>
    <row r="96" spans="1:12" ht="15.75" thickBot="1" x14ac:dyDescent="0.3">
      <c r="A96" s="1" t="s">
        <v>126</v>
      </c>
    </row>
    <row r="97" spans="1:12" ht="30.75" thickBot="1" x14ac:dyDescent="0.3">
      <c r="A97" s="66" t="s">
        <v>63</v>
      </c>
      <c r="B97" s="67" t="s">
        <v>64</v>
      </c>
      <c r="E97" s="237" t="s">
        <v>65</v>
      </c>
      <c r="F97" s="238"/>
      <c r="G97" s="238"/>
      <c r="H97" s="238"/>
      <c r="I97" s="238"/>
      <c r="J97" s="238"/>
      <c r="K97" s="238"/>
      <c r="L97" s="239"/>
    </row>
    <row r="98" spans="1:12" x14ac:dyDescent="0.25">
      <c r="A98" s="63" t="s">
        <v>60</v>
      </c>
      <c r="B98" s="68" t="s">
        <v>47</v>
      </c>
      <c r="D98" s="71" t="s">
        <v>69</v>
      </c>
      <c r="E98" s="20">
        <f>E78*F$92+E$92*F78-F78*F$92</f>
        <v>0</v>
      </c>
      <c r="F98" s="22">
        <f>F78*F$92</f>
        <v>0</v>
      </c>
      <c r="G98" s="22">
        <f>G78*G$92</f>
        <v>0</v>
      </c>
      <c r="H98" s="23">
        <f>G78*H$92+G$92*H78-G78*G$92</f>
        <v>1.76</v>
      </c>
      <c r="I98" s="20">
        <f>I78*J$92+I$92*J78-J78*J$92</f>
        <v>0</v>
      </c>
      <c r="J98" s="22">
        <f>J78*J$92</f>
        <v>0</v>
      </c>
      <c r="K98" s="22">
        <f>K78*K$92</f>
        <v>0</v>
      </c>
      <c r="L98" s="23">
        <f>K78*L$92+K$92*L78-K78*K$92</f>
        <v>1.2</v>
      </c>
    </row>
    <row r="99" spans="1:12" x14ac:dyDescent="0.25">
      <c r="A99" s="64" t="s">
        <v>60</v>
      </c>
      <c r="B99" s="69" t="s">
        <v>46</v>
      </c>
      <c r="D99" s="72" t="s">
        <v>68</v>
      </c>
      <c r="E99" s="26">
        <f>IF(E79*F$92+E$92*F79-F79*F$92&lt;0,0,E79*F$92+E$92*F79-F79*F$92)</f>
        <v>0</v>
      </c>
      <c r="F99">
        <f t="shared" ref="F99:G101" si="65">F79*F$92</f>
        <v>1.5400000000000003</v>
      </c>
      <c r="G99">
        <f t="shared" si="65"/>
        <v>3.52</v>
      </c>
      <c r="H99" s="27">
        <f t="shared" ref="H99:H101" si="66">G79*H$92+G$92*H79-G79*G$92</f>
        <v>5.0600000000000005</v>
      </c>
      <c r="I99" s="26">
        <f t="shared" ref="I99:I101" si="67">I79*J$92+I$92*J79-J79*J$92</f>
        <v>0.19999999999999996</v>
      </c>
      <c r="J99">
        <f t="shared" ref="J99:K101" si="68">J79*J$92</f>
        <v>1.5400000000000003</v>
      </c>
      <c r="K99">
        <f t="shared" si="68"/>
        <v>3.52</v>
      </c>
      <c r="L99" s="27">
        <f t="shared" ref="L99:L101" si="69">K79*L$92+K$92*L79-K79*K$92</f>
        <v>4.6000000000000014</v>
      </c>
    </row>
    <row r="100" spans="1:12" x14ac:dyDescent="0.25">
      <c r="A100" s="64" t="s">
        <v>60</v>
      </c>
      <c r="B100" s="69" t="s">
        <v>45</v>
      </c>
      <c r="D100" s="72" t="s">
        <v>67</v>
      </c>
      <c r="E100" s="26">
        <f t="shared" ref="E100:E101" si="70">E80*F$92+E$92*F80-F80*F$92</f>
        <v>2.2549999999999999</v>
      </c>
      <c r="F100">
        <f t="shared" si="65"/>
        <v>3.8500000000000005</v>
      </c>
      <c r="G100">
        <f t="shared" si="65"/>
        <v>6.16</v>
      </c>
      <c r="H100" s="27">
        <f t="shared" si="66"/>
        <v>9.1550000000000011</v>
      </c>
      <c r="I100" s="26">
        <f t="shared" si="67"/>
        <v>2.7399999999999993</v>
      </c>
      <c r="J100">
        <f t="shared" si="68"/>
        <v>3.8500000000000005</v>
      </c>
      <c r="K100">
        <f t="shared" si="68"/>
        <v>6.16</v>
      </c>
      <c r="L100" s="27">
        <f t="shared" si="69"/>
        <v>8.129999999999999</v>
      </c>
    </row>
    <row r="101" spans="1:12" ht="15.75" thickBot="1" x14ac:dyDescent="0.3">
      <c r="A101" s="65" t="s">
        <v>60</v>
      </c>
      <c r="B101" s="70" t="s">
        <v>44</v>
      </c>
      <c r="D101" s="73" t="s">
        <v>66</v>
      </c>
      <c r="E101" s="30">
        <f t="shared" si="70"/>
        <v>3.8900000000000006</v>
      </c>
      <c r="F101" s="32">
        <f t="shared" si="65"/>
        <v>7</v>
      </c>
      <c r="G101" s="32">
        <f t="shared" si="65"/>
        <v>8</v>
      </c>
      <c r="H101" s="33">
        <f t="shared" si="66"/>
        <v>9.5</v>
      </c>
      <c r="I101" s="30">
        <f t="shared" si="67"/>
        <v>4.8099999999999987</v>
      </c>
      <c r="J101" s="32">
        <f t="shared" si="68"/>
        <v>7</v>
      </c>
      <c r="K101" s="32">
        <f t="shared" si="68"/>
        <v>8</v>
      </c>
      <c r="L101" s="33">
        <f t="shared" si="69"/>
        <v>9</v>
      </c>
    </row>
    <row r="102" spans="1:12" x14ac:dyDescent="0.25">
      <c r="A102" s="63" t="s">
        <v>61</v>
      </c>
      <c r="B102" s="68" t="s">
        <v>47</v>
      </c>
      <c r="D102" s="71" t="s">
        <v>70</v>
      </c>
      <c r="E102" s="20">
        <f>E78*F$93+E$93*F78-F78*F$93</f>
        <v>0</v>
      </c>
      <c r="F102" s="22">
        <f>F78*F$93</f>
        <v>0</v>
      </c>
      <c r="G102" s="22">
        <f>G78*G$93</f>
        <v>0</v>
      </c>
      <c r="H102" s="23">
        <f>G78*H$93+G$93*H78-G78*G$93</f>
        <v>1.76</v>
      </c>
      <c r="I102" s="20">
        <f>I78*J$93+I$93*J78-J78*J$93</f>
        <v>0</v>
      </c>
      <c r="J102" s="22">
        <f>J78*J$93</f>
        <v>0</v>
      </c>
      <c r="K102" s="22">
        <f>K78*K$93</f>
        <v>0</v>
      </c>
      <c r="L102" s="23">
        <f>K78*L$93+K$93*L78-K78*K$93</f>
        <v>1.2</v>
      </c>
    </row>
    <row r="103" spans="1:12" x14ac:dyDescent="0.25">
      <c r="A103" s="64" t="s">
        <v>61</v>
      </c>
      <c r="B103" s="69" t="s">
        <v>46</v>
      </c>
      <c r="D103" s="72" t="s">
        <v>75</v>
      </c>
      <c r="E103" s="26">
        <f>IF(E79*F$93+E$93*F79-F79*F$93&lt;0,0,E79*F$93+E$93*F79-F79*F$93)</f>
        <v>0</v>
      </c>
      <c r="F103">
        <f t="shared" ref="F103:G105" si="71">F79*F$93</f>
        <v>1.5400000000000003</v>
      </c>
      <c r="G103">
        <f t="shared" si="71"/>
        <v>3.52</v>
      </c>
      <c r="H103" s="27">
        <f t="shared" ref="H103:H105" si="72">G79*H$93+G$93*H79-G79*G$93</f>
        <v>5.0600000000000005</v>
      </c>
      <c r="I103" s="26">
        <f t="shared" ref="I103:I105" si="73">I79*J$93+I$93*J79-J79*J$93</f>
        <v>0.19999999999999996</v>
      </c>
      <c r="J103">
        <f t="shared" ref="J103:K105" si="74">J79*J$93</f>
        <v>1.5400000000000003</v>
      </c>
      <c r="K103">
        <f t="shared" si="74"/>
        <v>3.52</v>
      </c>
      <c r="L103" s="27">
        <f t="shared" ref="L103:L105" si="75">K79*L$93+K$93*L79-K79*K$93</f>
        <v>4.6000000000000014</v>
      </c>
    </row>
    <row r="104" spans="1:12" x14ac:dyDescent="0.25">
      <c r="A104" s="64" t="s">
        <v>61</v>
      </c>
      <c r="B104" s="69" t="s">
        <v>45</v>
      </c>
      <c r="D104" s="72" t="s">
        <v>76</v>
      </c>
      <c r="E104" s="26">
        <f t="shared" ref="E104:E105" si="76">E80*F$93+E$93*F80-F80*F$93</f>
        <v>2.2549999999999999</v>
      </c>
      <c r="F104">
        <f t="shared" si="71"/>
        <v>3.8500000000000005</v>
      </c>
      <c r="G104">
        <f t="shared" si="71"/>
        <v>6.16</v>
      </c>
      <c r="H104" s="27">
        <f t="shared" si="72"/>
        <v>9.1550000000000011</v>
      </c>
      <c r="I104" s="26">
        <f t="shared" si="73"/>
        <v>2.7399999999999993</v>
      </c>
      <c r="J104">
        <f t="shared" si="74"/>
        <v>3.8500000000000005</v>
      </c>
      <c r="K104">
        <f t="shared" si="74"/>
        <v>6.16</v>
      </c>
      <c r="L104" s="27">
        <f t="shared" si="75"/>
        <v>8.129999999999999</v>
      </c>
    </row>
    <row r="105" spans="1:12" ht="15.75" thickBot="1" x14ac:dyDescent="0.3">
      <c r="A105" s="65" t="s">
        <v>61</v>
      </c>
      <c r="B105" s="70" t="s">
        <v>44</v>
      </c>
      <c r="D105" s="73" t="s">
        <v>77</v>
      </c>
      <c r="E105" s="30">
        <f t="shared" si="76"/>
        <v>3.8900000000000006</v>
      </c>
      <c r="F105" s="32">
        <f t="shared" si="71"/>
        <v>7</v>
      </c>
      <c r="G105" s="32">
        <f t="shared" si="71"/>
        <v>8</v>
      </c>
      <c r="H105" s="33">
        <f t="shared" si="72"/>
        <v>9.5</v>
      </c>
      <c r="I105" s="30">
        <f t="shared" si="73"/>
        <v>4.8099999999999987</v>
      </c>
      <c r="J105" s="32">
        <f t="shared" si="74"/>
        <v>7</v>
      </c>
      <c r="K105" s="32">
        <f t="shared" si="74"/>
        <v>8</v>
      </c>
      <c r="L105" s="33">
        <f t="shared" si="75"/>
        <v>9</v>
      </c>
    </row>
    <row r="106" spans="1:12" x14ac:dyDescent="0.25">
      <c r="A106" s="63" t="s">
        <v>62</v>
      </c>
      <c r="B106" s="68" t="s">
        <v>47</v>
      </c>
      <c r="D106" s="71" t="s">
        <v>72</v>
      </c>
      <c r="E106" s="20">
        <f>E78*F$94+E$94*F78-F78*F$94</f>
        <v>0</v>
      </c>
      <c r="F106" s="22">
        <f>F78*F$94</f>
        <v>0</v>
      </c>
      <c r="G106" s="22">
        <f>G78*G$94</f>
        <v>0</v>
      </c>
      <c r="H106" s="23">
        <f>G78*H$94+G$94*H78-G78*G$94</f>
        <v>1.21</v>
      </c>
      <c r="I106" s="20">
        <f>I78*J$94+I$94*J78-J78*J$94</f>
        <v>0</v>
      </c>
      <c r="J106" s="22">
        <f>J78*J$94</f>
        <v>0</v>
      </c>
      <c r="K106" s="22">
        <f>K78*K$94</f>
        <v>0</v>
      </c>
      <c r="L106" s="23">
        <f>K78*L$94+K$94*L78-K78*K$94</f>
        <v>0.82499999999999996</v>
      </c>
    </row>
    <row r="107" spans="1:12" x14ac:dyDescent="0.25">
      <c r="A107" s="64" t="s">
        <v>62</v>
      </c>
      <c r="B107" s="69" t="s">
        <v>46</v>
      </c>
      <c r="D107" s="72" t="s">
        <v>71</v>
      </c>
      <c r="E107" s="26">
        <f>IF(E79*F$94+E$94*F79-F79*F$94&lt;0,0,E79*F$94+E$94*F79-F79*F$94)</f>
        <v>0</v>
      </c>
      <c r="F107">
        <f t="shared" ref="F107:G109" si="77">F79*F$94</f>
        <v>0.9900000000000001</v>
      </c>
      <c r="G107">
        <f t="shared" si="77"/>
        <v>2.42</v>
      </c>
      <c r="H107" s="27">
        <f t="shared" ref="H107:H109" si="78">G79*H$94+G$94*H79-G79*G$94</f>
        <v>3.6850000000000005</v>
      </c>
      <c r="I107" s="26">
        <f t="shared" ref="I107:I109" si="79">I79*J$94+I$94*J79-J79*J$94</f>
        <v>4.9999999999999933E-2</v>
      </c>
      <c r="J107">
        <f t="shared" ref="J107:K109" si="80">J79*J$94</f>
        <v>0.9900000000000001</v>
      </c>
      <c r="K107">
        <f t="shared" si="80"/>
        <v>2.42</v>
      </c>
      <c r="L107" s="27">
        <f t="shared" ref="L107:L109" si="81">K79*L$94+K$94*L79-K79*K$94</f>
        <v>3.3000000000000007</v>
      </c>
    </row>
    <row r="108" spans="1:12" x14ac:dyDescent="0.25">
      <c r="A108" s="64" t="s">
        <v>62</v>
      </c>
      <c r="B108" s="69" t="s">
        <v>45</v>
      </c>
      <c r="D108" s="72" t="s">
        <v>73</v>
      </c>
      <c r="E108" s="26">
        <f t="shared" ref="E108:E109" si="82">E80*F$94+E$94*F80-F80*F$94</f>
        <v>1.1550000000000002</v>
      </c>
      <c r="F108">
        <f t="shared" si="77"/>
        <v>2.4750000000000001</v>
      </c>
      <c r="G108">
        <f t="shared" si="77"/>
        <v>4.2350000000000003</v>
      </c>
      <c r="H108" s="27">
        <f t="shared" si="78"/>
        <v>6.6550000000000002</v>
      </c>
      <c r="I108" s="26">
        <f t="shared" si="79"/>
        <v>1.5650000000000008</v>
      </c>
      <c r="J108">
        <f t="shared" si="80"/>
        <v>2.4750000000000001</v>
      </c>
      <c r="K108">
        <f t="shared" si="80"/>
        <v>4.2350000000000003</v>
      </c>
      <c r="L108" s="27">
        <f t="shared" si="81"/>
        <v>5.830000000000001</v>
      </c>
    </row>
    <row r="109" spans="1:12" ht="15.75" thickBot="1" x14ac:dyDescent="0.3">
      <c r="A109" s="65" t="s">
        <v>62</v>
      </c>
      <c r="B109" s="70" t="s">
        <v>44</v>
      </c>
      <c r="D109" s="73" t="s">
        <v>74</v>
      </c>
      <c r="E109" s="30">
        <f t="shared" si="82"/>
        <v>1.9649999999999999</v>
      </c>
      <c r="F109" s="32">
        <f t="shared" si="77"/>
        <v>4.5</v>
      </c>
      <c r="G109" s="32">
        <f t="shared" si="77"/>
        <v>5.5</v>
      </c>
      <c r="H109" s="33">
        <f t="shared" si="78"/>
        <v>7</v>
      </c>
      <c r="I109" s="30">
        <f t="shared" si="79"/>
        <v>2.7349999999999994</v>
      </c>
      <c r="J109" s="32">
        <f t="shared" si="80"/>
        <v>4.5</v>
      </c>
      <c r="K109" s="32">
        <f t="shared" si="80"/>
        <v>5.5</v>
      </c>
      <c r="L109" s="33">
        <f t="shared" si="81"/>
        <v>6.5</v>
      </c>
    </row>
    <row r="112" spans="1:12" ht="18.75" x14ac:dyDescent="0.3">
      <c r="A112" s="84" t="s">
        <v>93</v>
      </c>
      <c r="B112" s="38"/>
      <c r="C112" s="38"/>
    </row>
    <row r="113" spans="1:73" x14ac:dyDescent="0.25">
      <c r="A113" s="1" t="s">
        <v>49</v>
      </c>
      <c r="B113" s="38"/>
      <c r="C113" s="38"/>
    </row>
    <row r="114" spans="1:73" ht="15.75" thickBot="1" x14ac:dyDescent="0.3">
      <c r="A114" s="39" t="s">
        <v>100</v>
      </c>
      <c r="B114" s="38"/>
      <c r="C114" s="38"/>
      <c r="BO114">
        <v>0.8</v>
      </c>
    </row>
    <row r="115" spans="1:73" ht="86.25" customHeight="1" thickBot="1" x14ac:dyDescent="0.3">
      <c r="A115" s="242" t="s">
        <v>26</v>
      </c>
      <c r="B115" s="242" t="s">
        <v>27</v>
      </c>
      <c r="C115" s="243" t="s">
        <v>28</v>
      </c>
      <c r="D115" s="244" t="s">
        <v>58</v>
      </c>
      <c r="E115" s="245"/>
      <c r="F115" s="245"/>
      <c r="G115" s="245" t="s">
        <v>59</v>
      </c>
      <c r="H115" s="245"/>
      <c r="I115" s="245"/>
      <c r="J115" s="240" t="s">
        <v>88</v>
      </c>
      <c r="K115" s="230" t="s">
        <v>81</v>
      </c>
      <c r="L115" s="231"/>
      <c r="M115" s="231"/>
      <c r="N115" s="231"/>
      <c r="O115" s="231"/>
      <c r="P115" s="231"/>
      <c r="Q115" s="231"/>
      <c r="R115" s="232"/>
      <c r="S115" s="230" t="s">
        <v>79</v>
      </c>
      <c r="T115" s="231"/>
      <c r="U115" s="231"/>
      <c r="V115" s="231"/>
      <c r="W115" s="231"/>
      <c r="X115" s="231"/>
      <c r="Y115" s="231"/>
      <c r="Z115" s="232"/>
      <c r="AA115" s="230" t="s">
        <v>80</v>
      </c>
      <c r="AB115" s="231"/>
      <c r="AC115" s="231"/>
      <c r="AD115" s="231"/>
      <c r="AE115" s="231"/>
      <c r="AF115" s="231"/>
      <c r="AG115" s="231"/>
      <c r="AH115" s="232"/>
      <c r="AI115" s="230" t="s">
        <v>78</v>
      </c>
      <c r="AJ115" s="231"/>
      <c r="AK115" s="231"/>
      <c r="AL115" s="231"/>
      <c r="AM115" s="231"/>
      <c r="AN115" s="231"/>
      <c r="AO115" s="231"/>
      <c r="AP115" s="232"/>
      <c r="AQ115" s="230" t="s">
        <v>89</v>
      </c>
      <c r="AR115" s="231"/>
      <c r="AS115" s="231"/>
      <c r="AT115" s="231"/>
      <c r="AU115" s="231"/>
      <c r="AV115" s="231"/>
      <c r="AW115" s="231"/>
      <c r="AX115" s="232"/>
      <c r="AY115" s="230" t="s">
        <v>90</v>
      </c>
      <c r="AZ115" s="231"/>
      <c r="BA115" s="231"/>
      <c r="BB115" s="231"/>
      <c r="BC115" s="231"/>
      <c r="BD115" s="231"/>
      <c r="BE115" s="231"/>
      <c r="BF115" s="232"/>
      <c r="BG115" s="230" t="s">
        <v>132</v>
      </c>
      <c r="BH115" s="231"/>
      <c r="BI115" s="231"/>
      <c r="BJ115" s="231"/>
      <c r="BK115" s="231"/>
      <c r="BL115" s="231"/>
      <c r="BM115" s="231"/>
      <c r="BN115" s="232"/>
      <c r="BO115" s="219" t="s">
        <v>82</v>
      </c>
      <c r="BP115" s="220"/>
      <c r="BQ115" s="220"/>
      <c r="BR115" s="221"/>
      <c r="BS115" s="222" t="s">
        <v>84</v>
      </c>
      <c r="BT115" s="223"/>
      <c r="BU115" s="224" t="s">
        <v>87</v>
      </c>
    </row>
    <row r="116" spans="1:73" s="36" customFormat="1" ht="23.25" customHeight="1" thickBot="1" x14ac:dyDescent="0.3">
      <c r="A116" s="242"/>
      <c r="B116" s="242"/>
      <c r="C116" s="243"/>
      <c r="D116" s="60" t="s">
        <v>50</v>
      </c>
      <c r="E116" s="45" t="s">
        <v>51</v>
      </c>
      <c r="F116" s="45" t="s">
        <v>52</v>
      </c>
      <c r="G116" s="45" t="s">
        <v>50</v>
      </c>
      <c r="H116" s="45" t="s">
        <v>51</v>
      </c>
      <c r="I116" s="45" t="s">
        <v>52</v>
      </c>
      <c r="J116" s="241"/>
      <c r="K116" s="230" t="s">
        <v>3</v>
      </c>
      <c r="L116" s="231"/>
      <c r="M116" s="231"/>
      <c r="N116" s="232"/>
      <c r="O116" s="230" t="s">
        <v>4</v>
      </c>
      <c r="P116" s="231"/>
      <c r="Q116" s="231"/>
      <c r="R116" s="232"/>
      <c r="S116" s="230" t="s">
        <v>3</v>
      </c>
      <c r="T116" s="231"/>
      <c r="U116" s="231"/>
      <c r="V116" s="232"/>
      <c r="W116" s="230" t="s">
        <v>4</v>
      </c>
      <c r="X116" s="231"/>
      <c r="Y116" s="231"/>
      <c r="Z116" s="232"/>
      <c r="AA116" s="230" t="s">
        <v>3</v>
      </c>
      <c r="AB116" s="231"/>
      <c r="AC116" s="231"/>
      <c r="AD116" s="232"/>
      <c r="AE116" s="230" t="s">
        <v>4</v>
      </c>
      <c r="AF116" s="231"/>
      <c r="AG116" s="231"/>
      <c r="AH116" s="232"/>
      <c r="AI116" s="230" t="s">
        <v>3</v>
      </c>
      <c r="AJ116" s="231"/>
      <c r="AK116" s="231"/>
      <c r="AL116" s="232"/>
      <c r="AM116" s="230" t="s">
        <v>4</v>
      </c>
      <c r="AN116" s="231"/>
      <c r="AO116" s="231"/>
      <c r="AP116" s="232"/>
      <c r="AQ116" s="230" t="s">
        <v>3</v>
      </c>
      <c r="AR116" s="231"/>
      <c r="AS116" s="231"/>
      <c r="AT116" s="232"/>
      <c r="AU116" s="230" t="s">
        <v>4</v>
      </c>
      <c r="AV116" s="231"/>
      <c r="AW116" s="231"/>
      <c r="AX116" s="232"/>
      <c r="AY116" s="230" t="s">
        <v>3</v>
      </c>
      <c r="AZ116" s="231"/>
      <c r="BA116" s="231"/>
      <c r="BB116" s="232"/>
      <c r="BC116" s="230" t="s">
        <v>4</v>
      </c>
      <c r="BD116" s="231"/>
      <c r="BE116" s="231"/>
      <c r="BF116" s="232"/>
      <c r="BG116" s="230" t="s">
        <v>3</v>
      </c>
      <c r="BH116" s="231"/>
      <c r="BI116" s="231"/>
      <c r="BJ116" s="232"/>
      <c r="BK116" s="230" t="s">
        <v>4</v>
      </c>
      <c r="BL116" s="231"/>
      <c r="BM116" s="231"/>
      <c r="BN116" s="232"/>
      <c r="BO116" s="216" t="s">
        <v>83</v>
      </c>
      <c r="BP116" s="217"/>
      <c r="BQ116" s="216" t="s">
        <v>5</v>
      </c>
      <c r="BR116" s="218"/>
      <c r="BS116" s="80" t="s">
        <v>85</v>
      </c>
      <c r="BT116" s="80" t="s">
        <v>86</v>
      </c>
      <c r="BU116" s="225"/>
    </row>
    <row r="117" spans="1:73" ht="30" x14ac:dyDescent="0.25">
      <c r="A117" s="41" t="s">
        <v>0</v>
      </c>
      <c r="B117" s="41" t="s">
        <v>25</v>
      </c>
      <c r="C117" s="59" t="s">
        <v>13</v>
      </c>
      <c r="D117" s="91" t="s">
        <v>46</v>
      </c>
      <c r="E117" s="91" t="s">
        <v>45</v>
      </c>
      <c r="F117" s="91" t="s">
        <v>44</v>
      </c>
      <c r="G117" s="48">
        <f>IF(D117=$A$130,$B$130,(IF(D117=$A$131,$B$131,IF(D117=$A$132,$B$132,$B$133))))</f>
        <v>0.33</v>
      </c>
      <c r="H117" s="48">
        <f t="shared" ref="H117:I126" si="83">IF(E117=$A$130,$B$130,(IF(E117=$A$131,$B$131,IF(E117=$A$132,$B$132,$B$133))))</f>
        <v>0.66</v>
      </c>
      <c r="I117" s="48">
        <f t="shared" si="83"/>
        <v>1</v>
      </c>
      <c r="J117" s="82">
        <f>G117*$D$144+H117*$D$145+I117*$D$146</f>
        <v>11.625</v>
      </c>
      <c r="K117" s="20">
        <v>0</v>
      </c>
      <c r="L117" s="22">
        <v>0.22000000000000003</v>
      </c>
      <c r="M117" s="22">
        <v>0.44</v>
      </c>
      <c r="N117" s="23">
        <v>0.55000000000000004</v>
      </c>
      <c r="O117" s="20">
        <v>0.06</v>
      </c>
      <c r="P117" s="22">
        <v>0.22000000000000003</v>
      </c>
      <c r="Q117" s="22">
        <v>0.44</v>
      </c>
      <c r="R117" s="23">
        <v>0.52</v>
      </c>
      <c r="S117" s="20">
        <v>0.44000000000000006</v>
      </c>
      <c r="T117" s="22">
        <v>0.55000000000000004</v>
      </c>
      <c r="U117" s="22">
        <v>0.77</v>
      </c>
      <c r="V117" s="23">
        <v>1</v>
      </c>
      <c r="W117" s="20">
        <v>0.47000000000000003</v>
      </c>
      <c r="X117" s="22">
        <v>0.55000000000000004</v>
      </c>
      <c r="Y117" s="22">
        <v>0.77</v>
      </c>
      <c r="Z117" s="23">
        <v>0.92</v>
      </c>
      <c r="AA117" s="20">
        <v>0.77</v>
      </c>
      <c r="AB117" s="22">
        <v>1</v>
      </c>
      <c r="AC117" s="22">
        <v>1</v>
      </c>
      <c r="AD117" s="23">
        <v>1</v>
      </c>
      <c r="AE117" s="20">
        <v>0.83</v>
      </c>
      <c r="AF117" s="22">
        <v>1</v>
      </c>
      <c r="AG117" s="22">
        <v>1</v>
      </c>
      <c r="AH117" s="23">
        <v>1</v>
      </c>
      <c r="AI117" s="20">
        <v>0</v>
      </c>
      <c r="AJ117" s="22">
        <v>0.44000000000000006</v>
      </c>
      <c r="AK117" s="22">
        <v>1.32</v>
      </c>
      <c r="AL117" s="23">
        <v>2.3099999999999996</v>
      </c>
      <c r="AM117" s="20">
        <v>5.3999999999999992E-2</v>
      </c>
      <c r="AN117" s="22">
        <v>0.44000000000000006</v>
      </c>
      <c r="AO117" s="22">
        <v>1.32</v>
      </c>
      <c r="AP117" s="23">
        <v>2</v>
      </c>
      <c r="AQ117" s="20">
        <v>1.1550000000000002</v>
      </c>
      <c r="AR117" s="22">
        <v>2.4750000000000001</v>
      </c>
      <c r="AS117" s="22">
        <v>4.2350000000000003</v>
      </c>
      <c r="AT117" s="22">
        <v>6.6550000000000002</v>
      </c>
      <c r="AU117" s="20">
        <v>1.5650000000000008</v>
      </c>
      <c r="AV117" s="22">
        <v>2.4750000000000001</v>
      </c>
      <c r="AW117" s="22">
        <v>4.2350000000000003</v>
      </c>
      <c r="AX117" s="23">
        <v>5.830000000000001</v>
      </c>
      <c r="AY117" s="20">
        <v>3.8900000000000006</v>
      </c>
      <c r="AZ117" s="22">
        <v>7</v>
      </c>
      <c r="BA117" s="22">
        <v>8</v>
      </c>
      <c r="BB117" s="22">
        <v>9.5</v>
      </c>
      <c r="BC117" s="20">
        <v>4.8099999999999987</v>
      </c>
      <c r="BD117" s="22">
        <v>7</v>
      </c>
      <c r="BE117" s="22">
        <v>8</v>
      </c>
      <c r="BF117" s="23">
        <v>9</v>
      </c>
      <c r="BG117" s="20">
        <f>AI117+AQ117+AY117</f>
        <v>5.0450000000000008</v>
      </c>
      <c r="BH117" s="22">
        <f t="shared" ref="BH117:BN126" si="84">AJ117+AR117+AZ117</f>
        <v>9.9149999999999991</v>
      </c>
      <c r="BI117" s="22">
        <f t="shared" si="84"/>
        <v>13.555</v>
      </c>
      <c r="BJ117" s="22">
        <f t="shared" si="84"/>
        <v>18.465</v>
      </c>
      <c r="BK117" s="20">
        <f t="shared" si="84"/>
        <v>6.4289999999999994</v>
      </c>
      <c r="BL117" s="22">
        <f t="shared" si="84"/>
        <v>9.9149999999999991</v>
      </c>
      <c r="BM117" s="22">
        <f t="shared" si="84"/>
        <v>13.555</v>
      </c>
      <c r="BN117" s="22">
        <f t="shared" si="84"/>
        <v>16.830000000000002</v>
      </c>
      <c r="BO117" s="74">
        <f>BO$10*BH117+(1-BO$10)*BG117</f>
        <v>8.9409999999999989</v>
      </c>
      <c r="BP117" s="189">
        <f>BO$10*BI117+(1-BO$10)*BJ117</f>
        <v>14.537000000000001</v>
      </c>
      <c r="BQ117" s="74">
        <f>BO$10*BL117+(1-BO$10)*BK117</f>
        <v>9.2177999999999987</v>
      </c>
      <c r="BR117" s="75">
        <f>BO$10*BM117+(1-BO$10)*BN117</f>
        <v>14.21</v>
      </c>
      <c r="BS117" s="20">
        <f>(BO117+BP117)/2</f>
        <v>11.739000000000001</v>
      </c>
      <c r="BT117" s="23">
        <f>(BQ117+BR117)/2</f>
        <v>11.713899999999999</v>
      </c>
      <c r="BU117" s="71">
        <f>(BS117+BT117)/2</f>
        <v>11.72645</v>
      </c>
    </row>
    <row r="118" spans="1:73" x14ac:dyDescent="0.25">
      <c r="A118" s="41" t="s">
        <v>1</v>
      </c>
      <c r="B118" s="41" t="s">
        <v>14</v>
      </c>
      <c r="C118" s="59" t="s">
        <v>29</v>
      </c>
      <c r="D118" s="91" t="s">
        <v>45</v>
      </c>
      <c r="E118" s="91" t="s">
        <v>46</v>
      </c>
      <c r="F118" s="91" t="s">
        <v>46</v>
      </c>
      <c r="G118" s="48">
        <f t="shared" ref="G118:G126" si="85">IF(D118=$A$130,$B$130,(IF(D118=$A$131,$B$131,IF(D118=$A$132,$B$132,$B$133))))</f>
        <v>0.66</v>
      </c>
      <c r="H118" s="48">
        <f t="shared" si="83"/>
        <v>0.33</v>
      </c>
      <c r="I118" s="48">
        <f t="shared" si="83"/>
        <v>0.33</v>
      </c>
      <c r="J118" s="82">
        <f t="shared" ref="J118:J126" si="86">G118*$D$144+H118*$D$145+I118*$D$146</f>
        <v>5.7750000000000004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>
        <v>0.77</v>
      </c>
      <c r="R118" s="27">
        <v>0.92</v>
      </c>
      <c r="S118" s="26">
        <v>0</v>
      </c>
      <c r="T118">
        <v>0.22000000000000003</v>
      </c>
      <c r="U118">
        <v>0.44</v>
      </c>
      <c r="V118" s="27">
        <v>0.55000000000000004</v>
      </c>
      <c r="W118" s="26">
        <v>0.06</v>
      </c>
      <c r="X118">
        <v>0.22000000000000003</v>
      </c>
      <c r="Y118">
        <v>0.44</v>
      </c>
      <c r="Z118" s="27">
        <v>0.52</v>
      </c>
      <c r="AA118" s="26">
        <v>0</v>
      </c>
      <c r="AB118">
        <v>0.22000000000000003</v>
      </c>
      <c r="AC118">
        <v>0.44</v>
      </c>
      <c r="AD118" s="27">
        <v>0.55000000000000004</v>
      </c>
      <c r="AE118" s="26">
        <v>0.06</v>
      </c>
      <c r="AF118">
        <v>0.22000000000000003</v>
      </c>
      <c r="AG118">
        <v>0.44</v>
      </c>
      <c r="AH118" s="27">
        <v>0.52</v>
      </c>
      <c r="AI118" s="26">
        <v>0.60499999999999998</v>
      </c>
      <c r="AJ118">
        <v>1.1000000000000001</v>
      </c>
      <c r="AK118">
        <v>2.31</v>
      </c>
      <c r="AL118" s="27">
        <v>4.1549999999999994</v>
      </c>
      <c r="AM118" s="26">
        <v>0.77499999999999991</v>
      </c>
      <c r="AN118">
        <v>1.1000000000000001</v>
      </c>
      <c r="AO118">
        <v>2.31</v>
      </c>
      <c r="AP118" s="27">
        <v>3.53</v>
      </c>
      <c r="AQ118" s="26">
        <v>0</v>
      </c>
      <c r="AR118">
        <v>0.9900000000000001</v>
      </c>
      <c r="AS118">
        <v>2.42</v>
      </c>
      <c r="AT118">
        <v>3.6850000000000005</v>
      </c>
      <c r="AU118" s="26">
        <v>4.9999999999999933E-2</v>
      </c>
      <c r="AV118">
        <v>0.9900000000000001</v>
      </c>
      <c r="AW118">
        <v>2.42</v>
      </c>
      <c r="AX118" s="27">
        <v>3.3000000000000007</v>
      </c>
      <c r="AY118" s="26">
        <v>0</v>
      </c>
      <c r="AZ118">
        <v>1.5400000000000003</v>
      </c>
      <c r="BA118">
        <v>3.52</v>
      </c>
      <c r="BB118">
        <v>5.0600000000000005</v>
      </c>
      <c r="BC118" s="26">
        <v>0.19999999999999996</v>
      </c>
      <c r="BD118">
        <v>1.5400000000000003</v>
      </c>
      <c r="BE118">
        <v>3.52</v>
      </c>
      <c r="BF118" s="27">
        <v>4.6000000000000014</v>
      </c>
      <c r="BG118" s="26">
        <f t="shared" ref="BG118:BG126" si="87">AI118+AQ118+AY118</f>
        <v>0.60499999999999998</v>
      </c>
      <c r="BH118">
        <f t="shared" si="84"/>
        <v>3.6300000000000008</v>
      </c>
      <c r="BI118">
        <f t="shared" si="84"/>
        <v>8.25</v>
      </c>
      <c r="BJ118">
        <f t="shared" si="84"/>
        <v>12.9</v>
      </c>
      <c r="BK118" s="26">
        <f t="shared" si="84"/>
        <v>1.0249999999999999</v>
      </c>
      <c r="BL118">
        <f t="shared" si="84"/>
        <v>3.6300000000000008</v>
      </c>
      <c r="BM118">
        <f t="shared" si="84"/>
        <v>8.25</v>
      </c>
      <c r="BN118">
        <f t="shared" si="84"/>
        <v>11.430000000000001</v>
      </c>
      <c r="BO118" s="76">
        <f t="shared" ref="BO118:BO126" si="88">BO$10*BH118+(1-BO$10)*BG118</f>
        <v>3.0250000000000008</v>
      </c>
      <c r="BP118" s="190">
        <f t="shared" ref="BP118:BP126" si="89">BO$10*BI118+(1-BO$10)*BJ118</f>
        <v>9.18</v>
      </c>
      <c r="BQ118" s="76">
        <f t="shared" ref="BQ118:BQ126" si="90">BO$10*BL118+(1-BO$10)*BK118</f>
        <v>3.1090000000000009</v>
      </c>
      <c r="BR118" s="77">
        <f t="shared" ref="BR118:BR126" si="91">BO$10*BM118+(1-BO$10)*BN118</f>
        <v>8.8859999999999992</v>
      </c>
      <c r="BS118" s="26">
        <f t="shared" ref="BS118:BS126" si="92">(BO118+BP118)/2</f>
        <v>6.1025</v>
      </c>
      <c r="BT118" s="27">
        <f t="shared" ref="BT118:BT126" si="93">(BQ118+BR118)/2</f>
        <v>5.9975000000000005</v>
      </c>
      <c r="BU118" s="72">
        <f t="shared" ref="BU118:BU126" si="94">(BS118+BT118)/2</f>
        <v>6.0500000000000007</v>
      </c>
    </row>
    <row r="119" spans="1:73" x14ac:dyDescent="0.25">
      <c r="A119" s="41" t="s">
        <v>2</v>
      </c>
      <c r="B119" s="41" t="s">
        <v>15</v>
      </c>
      <c r="C119" s="59" t="s">
        <v>30</v>
      </c>
      <c r="D119" s="91" t="s">
        <v>45</v>
      </c>
      <c r="E119" s="91" t="s">
        <v>44</v>
      </c>
      <c r="F119" s="91" t="s">
        <v>45</v>
      </c>
      <c r="G119" s="48">
        <f t="shared" si="85"/>
        <v>0.66</v>
      </c>
      <c r="H119" s="48">
        <f t="shared" si="83"/>
        <v>1</v>
      </c>
      <c r="I119" s="48">
        <f t="shared" si="83"/>
        <v>0.66</v>
      </c>
      <c r="J119" s="82">
        <f t="shared" si="86"/>
        <v>11.600000000000001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0.77</v>
      </c>
      <c r="T119">
        <v>1</v>
      </c>
      <c r="U119">
        <v>1</v>
      </c>
      <c r="V119" s="27">
        <v>1</v>
      </c>
      <c r="W119" s="26">
        <v>0.83</v>
      </c>
      <c r="X119">
        <v>1</v>
      </c>
      <c r="Y119">
        <v>1</v>
      </c>
      <c r="Z119" s="27">
        <v>1</v>
      </c>
      <c r="AA119" s="26">
        <v>0.44000000000000006</v>
      </c>
      <c r="AB119">
        <v>0.55000000000000004</v>
      </c>
      <c r="AC119">
        <v>0.77</v>
      </c>
      <c r="AD119" s="27">
        <v>1</v>
      </c>
      <c r="AE119" s="26">
        <v>0.47000000000000003</v>
      </c>
      <c r="AF119">
        <v>0.55000000000000004</v>
      </c>
      <c r="AG119">
        <v>0.77</v>
      </c>
      <c r="AH119" s="27">
        <v>0.92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1.9649999999999999</v>
      </c>
      <c r="AR119">
        <v>4.5</v>
      </c>
      <c r="AS119">
        <v>5.5</v>
      </c>
      <c r="AT119">
        <v>7</v>
      </c>
      <c r="AU119" s="26">
        <v>2.7349999999999994</v>
      </c>
      <c r="AV119">
        <v>4.5</v>
      </c>
      <c r="AW119">
        <v>5.5</v>
      </c>
      <c r="AX119" s="27">
        <v>6.5</v>
      </c>
      <c r="AY119" s="26">
        <v>2.2549999999999999</v>
      </c>
      <c r="AZ119">
        <v>3.8500000000000005</v>
      </c>
      <c r="BA119">
        <v>6.16</v>
      </c>
      <c r="BB119">
        <v>9.1550000000000011</v>
      </c>
      <c r="BC119" s="26">
        <v>2.7399999999999993</v>
      </c>
      <c r="BD119">
        <v>3.8500000000000005</v>
      </c>
      <c r="BE119">
        <v>6.16</v>
      </c>
      <c r="BF119" s="27">
        <v>8.129999999999999</v>
      </c>
      <c r="BG119" s="26">
        <f t="shared" si="87"/>
        <v>4.8249999999999993</v>
      </c>
      <c r="BH119">
        <f t="shared" si="84"/>
        <v>9.4499999999999993</v>
      </c>
      <c r="BI119">
        <f t="shared" si="84"/>
        <v>13.97</v>
      </c>
      <c r="BJ119">
        <f t="shared" si="84"/>
        <v>20.310000000000002</v>
      </c>
      <c r="BK119" s="26">
        <f t="shared" si="84"/>
        <v>6.2499999999999982</v>
      </c>
      <c r="BL119">
        <f t="shared" si="84"/>
        <v>9.4499999999999993</v>
      </c>
      <c r="BM119">
        <f t="shared" si="84"/>
        <v>13.97</v>
      </c>
      <c r="BN119">
        <f t="shared" si="84"/>
        <v>18.159999999999997</v>
      </c>
      <c r="BO119" s="76">
        <f t="shared" si="88"/>
        <v>8.5249999999999986</v>
      </c>
      <c r="BP119" s="190">
        <f t="shared" si="89"/>
        <v>15.238000000000001</v>
      </c>
      <c r="BQ119" s="76">
        <f t="shared" si="90"/>
        <v>8.8099999999999987</v>
      </c>
      <c r="BR119" s="77">
        <f t="shared" si="91"/>
        <v>14.808</v>
      </c>
      <c r="BS119" s="26">
        <f t="shared" si="92"/>
        <v>11.881499999999999</v>
      </c>
      <c r="BT119" s="27">
        <f t="shared" si="93"/>
        <v>11.808999999999999</v>
      </c>
      <c r="BU119" s="72">
        <f t="shared" si="94"/>
        <v>11.84525</v>
      </c>
    </row>
    <row r="120" spans="1:73" x14ac:dyDescent="0.25">
      <c r="A120" s="41" t="s">
        <v>6</v>
      </c>
      <c r="B120" s="41" t="s">
        <v>16</v>
      </c>
      <c r="C120" s="59" t="s">
        <v>17</v>
      </c>
      <c r="D120" s="91" t="s">
        <v>44</v>
      </c>
      <c r="E120" s="91" t="s">
        <v>45</v>
      </c>
      <c r="F120" s="91" t="s">
        <v>46</v>
      </c>
      <c r="G120" s="48">
        <f t="shared" si="85"/>
        <v>1</v>
      </c>
      <c r="H120" s="48">
        <f t="shared" si="83"/>
        <v>0.66</v>
      </c>
      <c r="I120" s="48">
        <f t="shared" si="83"/>
        <v>0.33</v>
      </c>
      <c r="J120" s="82">
        <f t="shared" si="86"/>
        <v>8.2750000000000004</v>
      </c>
      <c r="K120" s="26">
        <v>0.77</v>
      </c>
      <c r="L120">
        <v>1</v>
      </c>
      <c r="M120">
        <v>1</v>
      </c>
      <c r="N120" s="27">
        <v>1</v>
      </c>
      <c r="O120" s="26">
        <v>0.83</v>
      </c>
      <c r="P120">
        <v>1</v>
      </c>
      <c r="Q120">
        <v>1</v>
      </c>
      <c r="R120" s="27">
        <v>1</v>
      </c>
      <c r="S120" s="26">
        <v>0.44000000000000006</v>
      </c>
      <c r="T120">
        <v>0.55000000000000004</v>
      </c>
      <c r="U120">
        <v>0.77</v>
      </c>
      <c r="V120" s="27">
        <v>1</v>
      </c>
      <c r="W120" s="26">
        <v>0.47000000000000003</v>
      </c>
      <c r="X120">
        <v>0.55000000000000004</v>
      </c>
      <c r="Y120">
        <v>0.77</v>
      </c>
      <c r="Z120" s="27">
        <v>0.92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6">
        <v>1.04</v>
      </c>
      <c r="AJ120">
        <v>2</v>
      </c>
      <c r="AK120">
        <v>3</v>
      </c>
      <c r="AL120" s="27">
        <v>4.5</v>
      </c>
      <c r="AM120" s="26">
        <v>1.3599999999999999</v>
      </c>
      <c r="AN120">
        <v>2</v>
      </c>
      <c r="AO120">
        <v>3</v>
      </c>
      <c r="AP120" s="27">
        <v>4</v>
      </c>
      <c r="AQ120" s="26">
        <v>1.1550000000000002</v>
      </c>
      <c r="AR120">
        <v>2.4750000000000001</v>
      </c>
      <c r="AS120">
        <v>4.2350000000000003</v>
      </c>
      <c r="AT120">
        <v>6.6550000000000002</v>
      </c>
      <c r="AU120" s="26">
        <v>1.5650000000000008</v>
      </c>
      <c r="AV120">
        <v>2.4750000000000001</v>
      </c>
      <c r="AW120">
        <v>4.2350000000000003</v>
      </c>
      <c r="AX120" s="27">
        <v>5.830000000000001</v>
      </c>
      <c r="AY120" s="26">
        <v>0</v>
      </c>
      <c r="AZ120">
        <v>1.5400000000000003</v>
      </c>
      <c r="BA120">
        <v>3.52</v>
      </c>
      <c r="BB120">
        <v>5.0600000000000005</v>
      </c>
      <c r="BC120" s="26">
        <v>0.19999999999999996</v>
      </c>
      <c r="BD120">
        <v>1.5400000000000003</v>
      </c>
      <c r="BE120">
        <v>3.52</v>
      </c>
      <c r="BF120" s="27">
        <v>4.6000000000000014</v>
      </c>
      <c r="BG120" s="26">
        <f t="shared" si="87"/>
        <v>2.1950000000000003</v>
      </c>
      <c r="BH120">
        <f t="shared" si="84"/>
        <v>6.0149999999999997</v>
      </c>
      <c r="BI120">
        <f t="shared" si="84"/>
        <v>10.755000000000001</v>
      </c>
      <c r="BJ120">
        <f t="shared" si="84"/>
        <v>16.215000000000003</v>
      </c>
      <c r="BK120" s="26">
        <f t="shared" si="84"/>
        <v>3.1250000000000009</v>
      </c>
      <c r="BL120">
        <f t="shared" si="84"/>
        <v>6.0149999999999997</v>
      </c>
      <c r="BM120">
        <f t="shared" si="84"/>
        <v>10.755000000000001</v>
      </c>
      <c r="BN120">
        <f t="shared" si="84"/>
        <v>14.430000000000003</v>
      </c>
      <c r="BO120" s="76">
        <f t="shared" si="88"/>
        <v>5.2510000000000003</v>
      </c>
      <c r="BP120" s="190">
        <f t="shared" si="89"/>
        <v>11.847000000000001</v>
      </c>
      <c r="BQ120" s="76">
        <f t="shared" si="90"/>
        <v>5.4370000000000003</v>
      </c>
      <c r="BR120" s="77">
        <f t="shared" si="91"/>
        <v>11.490000000000002</v>
      </c>
      <c r="BS120" s="26">
        <f t="shared" si="92"/>
        <v>8.5490000000000013</v>
      </c>
      <c r="BT120" s="27">
        <f t="shared" si="93"/>
        <v>8.4635000000000016</v>
      </c>
      <c r="BU120" s="72">
        <f t="shared" si="94"/>
        <v>8.5062500000000014</v>
      </c>
    </row>
    <row r="121" spans="1:73" ht="30" x14ac:dyDescent="0.25">
      <c r="A121" s="41" t="s">
        <v>7</v>
      </c>
      <c r="B121" s="41" t="s">
        <v>18</v>
      </c>
      <c r="C121" s="59" t="s">
        <v>31</v>
      </c>
      <c r="D121" s="91" t="s">
        <v>45</v>
      </c>
      <c r="E121" s="91" t="s">
        <v>44</v>
      </c>
      <c r="F121" s="91" t="s">
        <v>46</v>
      </c>
      <c r="G121" s="48">
        <f t="shared" si="85"/>
        <v>0.66</v>
      </c>
      <c r="H121" s="48">
        <f t="shared" si="83"/>
        <v>1</v>
      </c>
      <c r="I121" s="48">
        <f t="shared" si="83"/>
        <v>0.33</v>
      </c>
      <c r="J121" s="82">
        <f t="shared" si="86"/>
        <v>9.125</v>
      </c>
      <c r="K121" s="26">
        <v>0.44000000000000006</v>
      </c>
      <c r="L121">
        <v>0.55000000000000004</v>
      </c>
      <c r="M121">
        <v>0.77</v>
      </c>
      <c r="N121" s="27">
        <v>1</v>
      </c>
      <c r="O121" s="26">
        <v>0.47000000000000003</v>
      </c>
      <c r="P121">
        <v>0.55000000000000004</v>
      </c>
      <c r="Q121">
        <v>0.77</v>
      </c>
      <c r="R121" s="27">
        <v>0.92</v>
      </c>
      <c r="S121" s="26">
        <v>0.77</v>
      </c>
      <c r="T121">
        <v>1</v>
      </c>
      <c r="U121">
        <v>1</v>
      </c>
      <c r="V121" s="27">
        <v>1</v>
      </c>
      <c r="W121" s="26">
        <v>0.83</v>
      </c>
      <c r="X121">
        <v>1</v>
      </c>
      <c r="Y121">
        <v>1</v>
      </c>
      <c r="Z121" s="27">
        <v>1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0.60499999999999998</v>
      </c>
      <c r="AJ121">
        <v>1.1000000000000001</v>
      </c>
      <c r="AK121">
        <v>2.31</v>
      </c>
      <c r="AL121" s="27">
        <v>4.1549999999999994</v>
      </c>
      <c r="AM121" s="26">
        <v>0.77499999999999991</v>
      </c>
      <c r="AN121">
        <v>1.1000000000000001</v>
      </c>
      <c r="AO121">
        <v>2.31</v>
      </c>
      <c r="AP121" s="27">
        <v>3.53</v>
      </c>
      <c r="AQ121" s="26">
        <v>1.9649999999999999</v>
      </c>
      <c r="AR121">
        <v>4.5</v>
      </c>
      <c r="AS121">
        <v>5.5</v>
      </c>
      <c r="AT121">
        <v>7</v>
      </c>
      <c r="AU121" s="26">
        <v>2.7349999999999994</v>
      </c>
      <c r="AV121">
        <v>4.5</v>
      </c>
      <c r="AW121">
        <v>5.5</v>
      </c>
      <c r="AX121" s="27">
        <v>6.5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2.57</v>
      </c>
      <c r="BH121">
        <f t="shared" si="84"/>
        <v>7.14</v>
      </c>
      <c r="BI121">
        <f t="shared" si="84"/>
        <v>11.33</v>
      </c>
      <c r="BJ121">
        <f t="shared" si="84"/>
        <v>16.215</v>
      </c>
      <c r="BK121" s="26">
        <f t="shared" si="84"/>
        <v>3.7099999999999991</v>
      </c>
      <c r="BL121">
        <f t="shared" si="84"/>
        <v>7.14</v>
      </c>
      <c r="BM121">
        <f t="shared" si="84"/>
        <v>11.33</v>
      </c>
      <c r="BN121">
        <f t="shared" si="84"/>
        <v>14.63</v>
      </c>
      <c r="BO121" s="76">
        <f t="shared" si="88"/>
        <v>6.226</v>
      </c>
      <c r="BP121" s="190">
        <f t="shared" si="89"/>
        <v>12.306999999999999</v>
      </c>
      <c r="BQ121" s="76">
        <f t="shared" si="90"/>
        <v>6.4539999999999997</v>
      </c>
      <c r="BR121" s="77">
        <f t="shared" si="91"/>
        <v>11.99</v>
      </c>
      <c r="BS121" s="26">
        <f t="shared" si="92"/>
        <v>9.2664999999999988</v>
      </c>
      <c r="BT121" s="27">
        <f t="shared" si="93"/>
        <v>9.2219999999999995</v>
      </c>
      <c r="BU121" s="72">
        <f t="shared" si="94"/>
        <v>9.2442499999999992</v>
      </c>
    </row>
    <row r="122" spans="1:73" x14ac:dyDescent="0.25">
      <c r="A122" s="41" t="s">
        <v>8</v>
      </c>
      <c r="B122" s="41" t="s">
        <v>19</v>
      </c>
      <c r="C122" s="59" t="s">
        <v>32</v>
      </c>
      <c r="D122" s="91" t="s">
        <v>46</v>
      </c>
      <c r="E122" s="91" t="s">
        <v>45</v>
      </c>
      <c r="F122" s="91" t="s">
        <v>46</v>
      </c>
      <c r="G122" s="48">
        <f t="shared" si="85"/>
        <v>0.33</v>
      </c>
      <c r="H122" s="48">
        <f t="shared" si="83"/>
        <v>0.66</v>
      </c>
      <c r="I122" s="48">
        <f t="shared" si="83"/>
        <v>0.33</v>
      </c>
      <c r="J122" s="82">
        <f t="shared" si="86"/>
        <v>6.6</v>
      </c>
      <c r="K122" s="26">
        <v>0</v>
      </c>
      <c r="L122">
        <v>0.22000000000000003</v>
      </c>
      <c r="M122">
        <v>0.44</v>
      </c>
      <c r="N122" s="27">
        <v>0.55000000000000004</v>
      </c>
      <c r="O122" s="26">
        <v>0.06</v>
      </c>
      <c r="P122">
        <v>0.22000000000000003</v>
      </c>
      <c r="Q122">
        <v>0.44</v>
      </c>
      <c r="R122" s="27">
        <v>0.52</v>
      </c>
      <c r="S122" s="26">
        <v>0.44000000000000006</v>
      </c>
      <c r="T122">
        <v>0.55000000000000004</v>
      </c>
      <c r="U122">
        <v>0.77</v>
      </c>
      <c r="V122" s="27">
        <v>1</v>
      </c>
      <c r="W122" s="26">
        <v>0.47000000000000003</v>
      </c>
      <c r="X122">
        <v>0.55000000000000004</v>
      </c>
      <c r="Y122">
        <v>0.77</v>
      </c>
      <c r="Z122" s="27">
        <v>0.92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</v>
      </c>
      <c r="AJ122">
        <v>0.44000000000000006</v>
      </c>
      <c r="AK122">
        <v>1.32</v>
      </c>
      <c r="AL122" s="27">
        <v>2.3099999999999996</v>
      </c>
      <c r="AM122" s="26">
        <v>5.3999999999999992E-2</v>
      </c>
      <c r="AN122">
        <v>0.44000000000000006</v>
      </c>
      <c r="AO122">
        <v>1.32</v>
      </c>
      <c r="AP122" s="27">
        <v>2</v>
      </c>
      <c r="AQ122" s="26">
        <v>1.1550000000000002</v>
      </c>
      <c r="AR122">
        <v>2.4750000000000001</v>
      </c>
      <c r="AS122">
        <v>4.2350000000000003</v>
      </c>
      <c r="AT122">
        <v>6.6550000000000002</v>
      </c>
      <c r="AU122" s="26">
        <v>1.5650000000000008</v>
      </c>
      <c r="AV122">
        <v>2.4750000000000001</v>
      </c>
      <c r="AW122">
        <v>4.2350000000000003</v>
      </c>
      <c r="AX122" s="27">
        <v>5.830000000000001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1.1550000000000002</v>
      </c>
      <c r="BH122">
        <f t="shared" si="84"/>
        <v>4.4550000000000001</v>
      </c>
      <c r="BI122">
        <f t="shared" si="84"/>
        <v>9.0750000000000011</v>
      </c>
      <c r="BJ122">
        <f t="shared" si="84"/>
        <v>14.025</v>
      </c>
      <c r="BK122" s="26">
        <f t="shared" si="84"/>
        <v>1.8190000000000008</v>
      </c>
      <c r="BL122">
        <f t="shared" si="84"/>
        <v>4.4550000000000001</v>
      </c>
      <c r="BM122">
        <f t="shared" si="84"/>
        <v>9.0750000000000011</v>
      </c>
      <c r="BN122">
        <f t="shared" si="84"/>
        <v>12.430000000000003</v>
      </c>
      <c r="BO122" s="76">
        <f t="shared" si="88"/>
        <v>3.7949999999999999</v>
      </c>
      <c r="BP122" s="190">
        <f t="shared" si="89"/>
        <v>10.065000000000001</v>
      </c>
      <c r="BQ122" s="76">
        <f t="shared" si="90"/>
        <v>3.9278</v>
      </c>
      <c r="BR122" s="77">
        <f t="shared" si="91"/>
        <v>9.7460000000000022</v>
      </c>
      <c r="BS122" s="26">
        <f t="shared" si="92"/>
        <v>6.9300000000000006</v>
      </c>
      <c r="BT122" s="27">
        <f t="shared" si="93"/>
        <v>6.8369000000000009</v>
      </c>
      <c r="BU122" s="72">
        <f t="shared" si="94"/>
        <v>6.8834500000000007</v>
      </c>
    </row>
    <row r="123" spans="1:73" ht="30" x14ac:dyDescent="0.25">
      <c r="A123" s="41" t="s">
        <v>9</v>
      </c>
      <c r="B123" s="41" t="s">
        <v>20</v>
      </c>
      <c r="C123" s="59" t="s">
        <v>33</v>
      </c>
      <c r="D123" s="91" t="s">
        <v>44</v>
      </c>
      <c r="E123" s="91" t="s">
        <v>45</v>
      </c>
      <c r="F123" s="91" t="s">
        <v>46</v>
      </c>
      <c r="G123" s="48">
        <f t="shared" si="85"/>
        <v>1</v>
      </c>
      <c r="H123" s="48">
        <f t="shared" si="83"/>
        <v>0.66</v>
      </c>
      <c r="I123" s="48">
        <f t="shared" si="83"/>
        <v>0.33</v>
      </c>
      <c r="J123" s="82">
        <f t="shared" si="86"/>
        <v>8.2750000000000004</v>
      </c>
      <c r="K123" s="26">
        <v>0.77</v>
      </c>
      <c r="L123">
        <v>1</v>
      </c>
      <c r="M123">
        <v>1</v>
      </c>
      <c r="N123" s="27">
        <v>1</v>
      </c>
      <c r="O123" s="26">
        <v>0.83</v>
      </c>
      <c r="P123">
        <v>1</v>
      </c>
      <c r="Q123">
        <v>1</v>
      </c>
      <c r="R123" s="27">
        <v>1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1.04</v>
      </c>
      <c r="AJ123">
        <v>2</v>
      </c>
      <c r="AK123">
        <v>3</v>
      </c>
      <c r="AL123" s="27">
        <v>4.5</v>
      </c>
      <c r="AM123" s="26">
        <v>1.3599999999999999</v>
      </c>
      <c r="AN123">
        <v>2</v>
      </c>
      <c r="AO123">
        <v>3</v>
      </c>
      <c r="AP123" s="27">
        <v>4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2.1950000000000003</v>
      </c>
      <c r="BH123">
        <f t="shared" si="84"/>
        <v>6.0149999999999997</v>
      </c>
      <c r="BI123">
        <f t="shared" si="84"/>
        <v>10.755000000000001</v>
      </c>
      <c r="BJ123">
        <f t="shared" si="84"/>
        <v>16.215000000000003</v>
      </c>
      <c r="BK123" s="26">
        <f t="shared" si="84"/>
        <v>3.1250000000000009</v>
      </c>
      <c r="BL123">
        <f t="shared" si="84"/>
        <v>6.0149999999999997</v>
      </c>
      <c r="BM123">
        <f t="shared" si="84"/>
        <v>10.755000000000001</v>
      </c>
      <c r="BN123">
        <f t="shared" si="84"/>
        <v>14.430000000000003</v>
      </c>
      <c r="BO123" s="76">
        <f t="shared" si="88"/>
        <v>5.2510000000000003</v>
      </c>
      <c r="BP123" s="190">
        <f t="shared" si="89"/>
        <v>11.847000000000001</v>
      </c>
      <c r="BQ123" s="76">
        <f t="shared" si="90"/>
        <v>5.4370000000000003</v>
      </c>
      <c r="BR123" s="77">
        <f t="shared" si="91"/>
        <v>11.490000000000002</v>
      </c>
      <c r="BS123" s="26">
        <f t="shared" si="92"/>
        <v>8.5490000000000013</v>
      </c>
      <c r="BT123" s="27">
        <f t="shared" si="93"/>
        <v>8.4635000000000016</v>
      </c>
      <c r="BU123" s="72">
        <f t="shared" si="94"/>
        <v>8.5062500000000014</v>
      </c>
    </row>
    <row r="124" spans="1:73" ht="30" x14ac:dyDescent="0.25">
      <c r="A124" s="41" t="s">
        <v>10</v>
      </c>
      <c r="B124" s="41" t="s">
        <v>21</v>
      </c>
      <c r="C124" s="59" t="s">
        <v>22</v>
      </c>
      <c r="D124" s="91" t="s">
        <v>45</v>
      </c>
      <c r="E124" s="91" t="s">
        <v>46</v>
      </c>
      <c r="F124" s="91" t="s">
        <v>44</v>
      </c>
      <c r="G124" s="48">
        <f t="shared" si="85"/>
        <v>0.66</v>
      </c>
      <c r="H124" s="48">
        <f t="shared" si="83"/>
        <v>0.33</v>
      </c>
      <c r="I124" s="48">
        <f t="shared" si="83"/>
        <v>1</v>
      </c>
      <c r="J124" s="82">
        <f t="shared" si="86"/>
        <v>10.8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>
        <v>0.77</v>
      </c>
      <c r="R124" s="27">
        <v>0.92</v>
      </c>
      <c r="S124" s="26">
        <v>0</v>
      </c>
      <c r="T124">
        <v>0.22000000000000003</v>
      </c>
      <c r="U124">
        <v>0.44</v>
      </c>
      <c r="V124" s="27">
        <v>0.55000000000000004</v>
      </c>
      <c r="W124" s="26">
        <v>0.06</v>
      </c>
      <c r="X124">
        <v>0.22000000000000003</v>
      </c>
      <c r="Y124">
        <v>0.44</v>
      </c>
      <c r="Z124" s="27">
        <v>0.52</v>
      </c>
      <c r="AA124" s="26">
        <v>0.77</v>
      </c>
      <c r="AB124">
        <v>1</v>
      </c>
      <c r="AC124">
        <v>1</v>
      </c>
      <c r="AD124" s="27">
        <v>1</v>
      </c>
      <c r="AE124" s="26">
        <v>0.83</v>
      </c>
      <c r="AF124">
        <v>1</v>
      </c>
      <c r="AG124">
        <v>1</v>
      </c>
      <c r="AH124" s="27">
        <v>1</v>
      </c>
      <c r="AI124" s="26">
        <v>0.60499999999999998</v>
      </c>
      <c r="AJ124">
        <v>1.1000000000000001</v>
      </c>
      <c r="AK124">
        <v>2.31</v>
      </c>
      <c r="AL124" s="27">
        <v>4.1549999999999994</v>
      </c>
      <c r="AM124" s="26">
        <v>0.77499999999999991</v>
      </c>
      <c r="AN124">
        <v>1.1000000000000001</v>
      </c>
      <c r="AO124">
        <v>2.31</v>
      </c>
      <c r="AP124" s="27">
        <v>3.53</v>
      </c>
      <c r="AQ124" s="26">
        <v>0</v>
      </c>
      <c r="AR124">
        <v>0.9900000000000001</v>
      </c>
      <c r="AS124">
        <v>2.42</v>
      </c>
      <c r="AT124">
        <v>3.6850000000000005</v>
      </c>
      <c r="AU124" s="26">
        <v>4.9999999999999933E-2</v>
      </c>
      <c r="AV124">
        <v>0.9900000000000001</v>
      </c>
      <c r="AW124">
        <v>2.42</v>
      </c>
      <c r="AX124" s="27">
        <v>3.3000000000000007</v>
      </c>
      <c r="AY124" s="26">
        <v>3.8900000000000006</v>
      </c>
      <c r="AZ124">
        <v>7</v>
      </c>
      <c r="BA124">
        <v>8</v>
      </c>
      <c r="BB124">
        <v>9.5</v>
      </c>
      <c r="BC124" s="26">
        <v>4.8099999999999987</v>
      </c>
      <c r="BD124">
        <v>7</v>
      </c>
      <c r="BE124">
        <v>8</v>
      </c>
      <c r="BF124" s="27">
        <v>9</v>
      </c>
      <c r="BG124" s="26">
        <f t="shared" si="87"/>
        <v>4.495000000000001</v>
      </c>
      <c r="BH124">
        <f t="shared" si="84"/>
        <v>9.09</v>
      </c>
      <c r="BI124">
        <f t="shared" si="84"/>
        <v>12.73</v>
      </c>
      <c r="BJ124">
        <f t="shared" si="84"/>
        <v>17.34</v>
      </c>
      <c r="BK124" s="26">
        <f t="shared" si="84"/>
        <v>5.6349999999999989</v>
      </c>
      <c r="BL124">
        <f t="shared" si="84"/>
        <v>9.09</v>
      </c>
      <c r="BM124">
        <f t="shared" si="84"/>
        <v>12.73</v>
      </c>
      <c r="BN124">
        <f t="shared" si="84"/>
        <v>15.83</v>
      </c>
      <c r="BO124" s="76">
        <f t="shared" si="88"/>
        <v>8.1709999999999994</v>
      </c>
      <c r="BP124" s="190">
        <f t="shared" si="89"/>
        <v>13.652000000000001</v>
      </c>
      <c r="BQ124" s="76">
        <f t="shared" si="90"/>
        <v>8.3989999999999991</v>
      </c>
      <c r="BR124" s="77">
        <f t="shared" si="91"/>
        <v>13.350000000000001</v>
      </c>
      <c r="BS124" s="26">
        <f t="shared" si="92"/>
        <v>10.9115</v>
      </c>
      <c r="BT124" s="27">
        <f t="shared" si="93"/>
        <v>10.874500000000001</v>
      </c>
      <c r="BU124" s="72">
        <f t="shared" si="94"/>
        <v>10.893000000000001</v>
      </c>
    </row>
    <row r="125" spans="1:73" ht="36.75" customHeight="1" x14ac:dyDescent="0.25">
      <c r="A125" s="41" t="s">
        <v>11</v>
      </c>
      <c r="B125" s="41" t="s">
        <v>23</v>
      </c>
      <c r="C125" s="59" t="s">
        <v>34</v>
      </c>
      <c r="D125" s="91" t="s">
        <v>45</v>
      </c>
      <c r="E125" s="91" t="s">
        <v>44</v>
      </c>
      <c r="F125" s="91" t="s">
        <v>46</v>
      </c>
      <c r="G125" s="48">
        <f t="shared" si="85"/>
        <v>0.66</v>
      </c>
      <c r="H125" s="48">
        <f t="shared" si="83"/>
        <v>1</v>
      </c>
      <c r="I125" s="48">
        <f t="shared" si="83"/>
        <v>0.33</v>
      </c>
      <c r="J125" s="82">
        <f t="shared" si="86"/>
        <v>9.125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0.77</v>
      </c>
      <c r="T125">
        <v>1</v>
      </c>
      <c r="U125">
        <v>1</v>
      </c>
      <c r="V125" s="27">
        <v>1</v>
      </c>
      <c r="W125" s="26">
        <v>0.83</v>
      </c>
      <c r="X125">
        <v>1</v>
      </c>
      <c r="Y125">
        <v>1</v>
      </c>
      <c r="Z125" s="27">
        <v>1</v>
      </c>
      <c r="AA125" s="26">
        <v>0</v>
      </c>
      <c r="AB125">
        <v>0.22000000000000003</v>
      </c>
      <c r="AC125">
        <v>0.44</v>
      </c>
      <c r="AD125" s="27">
        <v>0.55000000000000004</v>
      </c>
      <c r="AE125" s="26">
        <v>0.06</v>
      </c>
      <c r="AF125">
        <v>0.22000000000000003</v>
      </c>
      <c r="AG125">
        <v>0.44</v>
      </c>
      <c r="AH125" s="27">
        <v>0.52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1.9649999999999999</v>
      </c>
      <c r="AR125">
        <v>4.5</v>
      </c>
      <c r="AS125">
        <v>5.5</v>
      </c>
      <c r="AT125">
        <v>7</v>
      </c>
      <c r="AU125" s="26">
        <v>2.7349999999999994</v>
      </c>
      <c r="AV125">
        <v>4.5</v>
      </c>
      <c r="AW125">
        <v>5.5</v>
      </c>
      <c r="AX125" s="27">
        <v>6.5</v>
      </c>
      <c r="AY125" s="26">
        <v>0</v>
      </c>
      <c r="AZ125">
        <v>1.5400000000000003</v>
      </c>
      <c r="BA125">
        <v>3.52</v>
      </c>
      <c r="BB125">
        <v>5.0600000000000005</v>
      </c>
      <c r="BC125" s="26">
        <v>0.19999999999999996</v>
      </c>
      <c r="BD125">
        <v>1.5400000000000003</v>
      </c>
      <c r="BE125">
        <v>3.52</v>
      </c>
      <c r="BF125" s="27">
        <v>4.6000000000000014</v>
      </c>
      <c r="BG125" s="26">
        <f t="shared" si="87"/>
        <v>2.57</v>
      </c>
      <c r="BH125">
        <f t="shared" si="84"/>
        <v>7.14</v>
      </c>
      <c r="BI125">
        <f t="shared" si="84"/>
        <v>11.33</v>
      </c>
      <c r="BJ125">
        <f t="shared" si="84"/>
        <v>16.215</v>
      </c>
      <c r="BK125" s="26">
        <f t="shared" si="84"/>
        <v>3.7099999999999991</v>
      </c>
      <c r="BL125">
        <f t="shared" si="84"/>
        <v>7.14</v>
      </c>
      <c r="BM125">
        <f t="shared" si="84"/>
        <v>11.33</v>
      </c>
      <c r="BN125">
        <f t="shared" si="84"/>
        <v>14.63</v>
      </c>
      <c r="BO125" s="76">
        <f t="shared" si="88"/>
        <v>6.226</v>
      </c>
      <c r="BP125" s="190">
        <f t="shared" si="89"/>
        <v>12.306999999999999</v>
      </c>
      <c r="BQ125" s="76">
        <f t="shared" si="90"/>
        <v>6.4539999999999997</v>
      </c>
      <c r="BR125" s="77">
        <f t="shared" si="91"/>
        <v>11.99</v>
      </c>
      <c r="BS125" s="26">
        <f t="shared" si="92"/>
        <v>9.2664999999999988</v>
      </c>
      <c r="BT125" s="27">
        <f t="shared" si="93"/>
        <v>9.2219999999999995</v>
      </c>
      <c r="BU125" s="72">
        <f t="shared" si="94"/>
        <v>9.2442499999999992</v>
      </c>
    </row>
    <row r="126" spans="1:73" ht="30.75" thickBot="1" x14ac:dyDescent="0.3">
      <c r="A126" s="41" t="s">
        <v>12</v>
      </c>
      <c r="B126" s="41" t="s">
        <v>24</v>
      </c>
      <c r="C126" s="59" t="s">
        <v>35</v>
      </c>
      <c r="D126" s="91" t="s">
        <v>46</v>
      </c>
      <c r="E126" s="91" t="s">
        <v>44</v>
      </c>
      <c r="F126" s="91" t="s">
        <v>45</v>
      </c>
      <c r="G126" s="48">
        <f t="shared" si="85"/>
        <v>0.33</v>
      </c>
      <c r="H126" s="48">
        <f t="shared" si="83"/>
        <v>1</v>
      </c>
      <c r="I126" s="48">
        <f t="shared" si="83"/>
        <v>0.66</v>
      </c>
      <c r="J126" s="82">
        <f t="shared" si="86"/>
        <v>10.775</v>
      </c>
      <c r="K126" s="30">
        <v>0</v>
      </c>
      <c r="L126" s="32">
        <v>0.22000000000000003</v>
      </c>
      <c r="M126" s="32">
        <v>0.44</v>
      </c>
      <c r="N126" s="33">
        <v>0.55000000000000004</v>
      </c>
      <c r="O126" s="30">
        <v>0.06</v>
      </c>
      <c r="P126" s="32">
        <v>0.22000000000000003</v>
      </c>
      <c r="Q126" s="32">
        <v>0.44</v>
      </c>
      <c r="R126" s="33">
        <v>0.52</v>
      </c>
      <c r="S126" s="30">
        <v>0.77</v>
      </c>
      <c r="T126" s="32">
        <v>1</v>
      </c>
      <c r="U126" s="32">
        <v>1</v>
      </c>
      <c r="V126" s="33">
        <v>1</v>
      </c>
      <c r="W126" s="30">
        <v>0.83</v>
      </c>
      <c r="X126" s="32">
        <v>1</v>
      </c>
      <c r="Y126" s="32">
        <v>1</v>
      </c>
      <c r="Z126" s="33">
        <v>1</v>
      </c>
      <c r="AA126" s="30">
        <v>0.44000000000000006</v>
      </c>
      <c r="AB126" s="32">
        <v>0.55000000000000004</v>
      </c>
      <c r="AC126" s="32">
        <v>0.77</v>
      </c>
      <c r="AD126" s="33">
        <v>1</v>
      </c>
      <c r="AE126" s="30">
        <v>0.47000000000000003</v>
      </c>
      <c r="AF126" s="32">
        <v>0.55000000000000004</v>
      </c>
      <c r="AG126" s="32">
        <v>0.77</v>
      </c>
      <c r="AH126" s="33">
        <v>0.92</v>
      </c>
      <c r="AI126" s="30">
        <v>0</v>
      </c>
      <c r="AJ126" s="32">
        <v>0.44000000000000006</v>
      </c>
      <c r="AK126" s="32">
        <v>1.32</v>
      </c>
      <c r="AL126" s="33">
        <v>2.3099999999999996</v>
      </c>
      <c r="AM126" s="30">
        <v>5.3999999999999992E-2</v>
      </c>
      <c r="AN126" s="32">
        <v>0.44000000000000006</v>
      </c>
      <c r="AO126" s="32">
        <v>1.32</v>
      </c>
      <c r="AP126" s="33">
        <v>2</v>
      </c>
      <c r="AQ126" s="30">
        <v>1.9649999999999999</v>
      </c>
      <c r="AR126" s="32">
        <v>4.5</v>
      </c>
      <c r="AS126" s="32">
        <v>5.5</v>
      </c>
      <c r="AT126" s="32">
        <v>7</v>
      </c>
      <c r="AU126" s="30">
        <v>2.7349999999999994</v>
      </c>
      <c r="AV126" s="32">
        <v>4.5</v>
      </c>
      <c r="AW126" s="32">
        <v>5.5</v>
      </c>
      <c r="AX126" s="33">
        <v>6.5</v>
      </c>
      <c r="AY126" s="30">
        <v>2.2549999999999999</v>
      </c>
      <c r="AZ126" s="32">
        <v>3.8500000000000005</v>
      </c>
      <c r="BA126" s="32">
        <v>6.16</v>
      </c>
      <c r="BB126" s="32">
        <v>9.1550000000000011</v>
      </c>
      <c r="BC126" s="30">
        <v>2.7399999999999993</v>
      </c>
      <c r="BD126" s="32">
        <v>3.8500000000000005</v>
      </c>
      <c r="BE126" s="32">
        <v>6.16</v>
      </c>
      <c r="BF126" s="33">
        <v>8.129999999999999</v>
      </c>
      <c r="BG126" s="30">
        <f t="shared" si="87"/>
        <v>4.22</v>
      </c>
      <c r="BH126" s="32">
        <f t="shared" si="84"/>
        <v>8.7900000000000009</v>
      </c>
      <c r="BI126" s="32">
        <f t="shared" si="84"/>
        <v>12.98</v>
      </c>
      <c r="BJ126" s="32">
        <f t="shared" si="84"/>
        <v>18.465</v>
      </c>
      <c r="BK126" s="30">
        <f t="shared" si="84"/>
        <v>5.5289999999999981</v>
      </c>
      <c r="BL126" s="32">
        <f t="shared" si="84"/>
        <v>8.7900000000000009</v>
      </c>
      <c r="BM126" s="32">
        <f t="shared" si="84"/>
        <v>12.98</v>
      </c>
      <c r="BN126" s="32">
        <f t="shared" si="84"/>
        <v>16.63</v>
      </c>
      <c r="BO126" s="78">
        <f t="shared" si="88"/>
        <v>7.8760000000000003</v>
      </c>
      <c r="BP126" s="191">
        <f t="shared" si="89"/>
        <v>14.077</v>
      </c>
      <c r="BQ126" s="78">
        <f t="shared" si="90"/>
        <v>8.1378000000000004</v>
      </c>
      <c r="BR126" s="79">
        <f t="shared" si="91"/>
        <v>13.709999999999999</v>
      </c>
      <c r="BS126" s="30">
        <f t="shared" si="92"/>
        <v>10.9765</v>
      </c>
      <c r="BT126" s="33">
        <f t="shared" si="93"/>
        <v>10.9239</v>
      </c>
      <c r="BU126" s="73">
        <f t="shared" si="94"/>
        <v>10.950199999999999</v>
      </c>
    </row>
    <row r="127" spans="1:73" x14ac:dyDescent="0.25">
      <c r="BF127" s="192"/>
      <c r="BG127" s="193"/>
      <c r="BH127" s="193"/>
      <c r="BI127" s="193"/>
      <c r="BJ127" s="193"/>
      <c r="BK127" s="193"/>
    </row>
    <row r="128" spans="1:73" x14ac:dyDescent="0.25">
      <c r="A128" s="1" t="s">
        <v>127</v>
      </c>
      <c r="B128" s="1"/>
    </row>
    <row r="129" spans="1:12" ht="15.75" thickBot="1" x14ac:dyDescent="0.3">
      <c r="A129" s="45" t="s">
        <v>43</v>
      </c>
      <c r="B129" s="46" t="s">
        <v>55</v>
      </c>
      <c r="E129" s="50" t="s">
        <v>3</v>
      </c>
      <c r="I129" t="s">
        <v>4</v>
      </c>
    </row>
    <row r="130" spans="1:12" x14ac:dyDescent="0.25">
      <c r="A130" s="44" t="s">
        <v>47</v>
      </c>
      <c r="B130" s="2">
        <v>0</v>
      </c>
      <c r="C130" s="18">
        <v>0</v>
      </c>
      <c r="D130" s="19" t="s">
        <v>47</v>
      </c>
      <c r="E130" s="20">
        <v>0</v>
      </c>
      <c r="F130" s="21">
        <f>C130</f>
        <v>0</v>
      </c>
      <c r="G130" s="22">
        <v>0</v>
      </c>
      <c r="H130" s="23">
        <v>0.22</v>
      </c>
      <c r="I130" s="24">
        <v>0</v>
      </c>
      <c r="J130" s="22">
        <f>F130</f>
        <v>0</v>
      </c>
      <c r="K130" s="22">
        <f>G130</f>
        <v>0</v>
      </c>
      <c r="L130" s="25">
        <v>0.15</v>
      </c>
    </row>
    <row r="131" spans="1:12" x14ac:dyDescent="0.25">
      <c r="A131" s="44" t="s">
        <v>46</v>
      </c>
      <c r="B131" s="2">
        <v>0.33</v>
      </c>
      <c r="C131" s="18">
        <v>0.33</v>
      </c>
      <c r="D131" s="19" t="s">
        <v>46</v>
      </c>
      <c r="E131" s="26">
        <v>0</v>
      </c>
      <c r="F131" s="49">
        <f>C131-0.11</f>
        <v>0.22000000000000003</v>
      </c>
      <c r="G131">
        <f>C131+0.11</f>
        <v>0.44</v>
      </c>
      <c r="H131" s="27">
        <f t="shared" ref="H131" si="95">G131+0.11</f>
        <v>0.55000000000000004</v>
      </c>
      <c r="I131" s="28">
        <v>0.06</v>
      </c>
      <c r="J131">
        <f t="shared" ref="J131:K133" si="96">F131</f>
        <v>0.22000000000000003</v>
      </c>
      <c r="K131">
        <f t="shared" si="96"/>
        <v>0.44</v>
      </c>
      <c r="L131" s="29">
        <f t="shared" ref="L131" si="97">K131+0.08</f>
        <v>0.52</v>
      </c>
    </row>
    <row r="132" spans="1:12" x14ac:dyDescent="0.25">
      <c r="A132" s="44" t="s">
        <v>45</v>
      </c>
      <c r="B132" s="2">
        <v>0.66</v>
      </c>
      <c r="C132" s="18">
        <v>0.66</v>
      </c>
      <c r="D132" s="19" t="s">
        <v>45</v>
      </c>
      <c r="E132" s="26">
        <f t="shared" ref="E132" si="98">F132-0.11</f>
        <v>0.44000000000000006</v>
      </c>
      <c r="F132" s="49">
        <f t="shared" ref="F132" si="99">C132-0.11</f>
        <v>0.55000000000000004</v>
      </c>
      <c r="G132">
        <f t="shared" ref="G132" si="100">C132+0.11</f>
        <v>0.77</v>
      </c>
      <c r="H132" s="27">
        <v>1</v>
      </c>
      <c r="I132" s="28">
        <f t="shared" ref="I132" si="101">J132-0.08</f>
        <v>0.47000000000000003</v>
      </c>
      <c r="J132">
        <f t="shared" si="96"/>
        <v>0.55000000000000004</v>
      </c>
      <c r="K132">
        <f t="shared" si="96"/>
        <v>0.77</v>
      </c>
      <c r="L132" s="29">
        <v>0.92</v>
      </c>
    </row>
    <row r="133" spans="1:12" ht="15.75" thickBot="1" x14ac:dyDescent="0.3">
      <c r="A133" s="44" t="s">
        <v>44</v>
      </c>
      <c r="B133" s="2">
        <v>1</v>
      </c>
      <c r="C133" s="18">
        <v>1</v>
      </c>
      <c r="D133" s="19" t="s">
        <v>44</v>
      </c>
      <c r="E133" s="30">
        <v>0.77</v>
      </c>
      <c r="F133" s="31">
        <v>1</v>
      </c>
      <c r="G133" s="32">
        <v>1</v>
      </c>
      <c r="H133" s="33">
        <v>1</v>
      </c>
      <c r="I133" s="34">
        <v>0.83</v>
      </c>
      <c r="J133" s="32">
        <f t="shared" si="96"/>
        <v>1</v>
      </c>
      <c r="K133" s="32">
        <f t="shared" si="96"/>
        <v>1</v>
      </c>
      <c r="L133" s="35">
        <v>1</v>
      </c>
    </row>
    <row r="134" spans="1:12" x14ac:dyDescent="0.25">
      <c r="A134" s="38"/>
    </row>
    <row r="135" spans="1:12" x14ac:dyDescent="0.25">
      <c r="A135" s="1" t="s">
        <v>128</v>
      </c>
    </row>
    <row r="136" spans="1:12" ht="15.75" thickBot="1" x14ac:dyDescent="0.3">
      <c r="A136" s="45" t="s">
        <v>43</v>
      </c>
      <c r="B136" s="46" t="s">
        <v>56</v>
      </c>
      <c r="E136" s="50" t="s">
        <v>3</v>
      </c>
      <c r="I136" t="s">
        <v>4</v>
      </c>
    </row>
    <row r="137" spans="1:12" x14ac:dyDescent="0.25">
      <c r="A137" s="44" t="s">
        <v>47</v>
      </c>
      <c r="B137" s="2">
        <v>1</v>
      </c>
      <c r="C137" s="18">
        <v>1</v>
      </c>
      <c r="D137" s="19" t="s">
        <v>47</v>
      </c>
      <c r="E137" s="20">
        <v>0</v>
      </c>
      <c r="F137" s="21">
        <v>0.5</v>
      </c>
      <c r="G137" s="22">
        <v>1.5</v>
      </c>
      <c r="H137" s="23">
        <v>2</v>
      </c>
      <c r="I137" s="24">
        <v>0</v>
      </c>
      <c r="J137" s="22">
        <f>F137</f>
        <v>0.5</v>
      </c>
      <c r="K137" s="22">
        <f>G137</f>
        <v>1.5</v>
      </c>
      <c r="L137" s="25">
        <v>1.8</v>
      </c>
    </row>
    <row r="138" spans="1:12" x14ac:dyDescent="0.25">
      <c r="A138" s="44" t="s">
        <v>46</v>
      </c>
      <c r="B138" s="2">
        <v>2.5</v>
      </c>
      <c r="C138" s="18">
        <v>2.5</v>
      </c>
      <c r="D138" s="19" t="s">
        <v>46</v>
      </c>
      <c r="E138" s="26">
        <v>1.5</v>
      </c>
      <c r="F138" s="49">
        <f>C138-0.5</f>
        <v>2</v>
      </c>
      <c r="G138">
        <f>C138+0.5</f>
        <v>3</v>
      </c>
      <c r="H138" s="27">
        <f t="shared" ref="H138:H140" si="102">G138+1.5</f>
        <v>4.5</v>
      </c>
      <c r="I138" s="28">
        <v>1.7</v>
      </c>
      <c r="J138">
        <f t="shared" ref="J138:K140" si="103">F138</f>
        <v>2</v>
      </c>
      <c r="K138">
        <f t="shared" si="103"/>
        <v>3</v>
      </c>
      <c r="L138" s="29">
        <f t="shared" ref="L138:L140" si="104">K138+1</f>
        <v>4</v>
      </c>
    </row>
    <row r="139" spans="1:12" x14ac:dyDescent="0.25">
      <c r="A139" s="44" t="s">
        <v>45</v>
      </c>
      <c r="B139" s="2">
        <v>5</v>
      </c>
      <c r="C139" s="18">
        <v>5</v>
      </c>
      <c r="D139" s="19" t="s">
        <v>45</v>
      </c>
      <c r="E139" s="26">
        <f t="shared" ref="E139:E140" si="105">F139-1.5</f>
        <v>3</v>
      </c>
      <c r="F139" s="49">
        <f>C139-0.5</f>
        <v>4.5</v>
      </c>
      <c r="G139">
        <f>C139+0.5</f>
        <v>5.5</v>
      </c>
      <c r="H139" s="27">
        <f t="shared" si="102"/>
        <v>7</v>
      </c>
      <c r="I139" s="28">
        <f t="shared" ref="I139:I140" si="106">J139-1</f>
        <v>3.5</v>
      </c>
      <c r="J139">
        <f t="shared" si="103"/>
        <v>4.5</v>
      </c>
      <c r="K139">
        <f t="shared" si="103"/>
        <v>5.5</v>
      </c>
      <c r="L139" s="29">
        <f t="shared" si="104"/>
        <v>6.5</v>
      </c>
    </row>
    <row r="140" spans="1:12" ht="15.75" thickBot="1" x14ac:dyDescent="0.3">
      <c r="A140" s="44" t="s">
        <v>44</v>
      </c>
      <c r="B140" s="2">
        <v>7.5</v>
      </c>
      <c r="C140" s="18">
        <v>7.5</v>
      </c>
      <c r="D140" s="19" t="s">
        <v>44</v>
      </c>
      <c r="E140" s="30">
        <f t="shared" si="105"/>
        <v>5.5</v>
      </c>
      <c r="F140" s="31">
        <f>C140-0.5</f>
        <v>7</v>
      </c>
      <c r="G140" s="32">
        <f>C140+0.5</f>
        <v>8</v>
      </c>
      <c r="H140" s="33">
        <f t="shared" si="102"/>
        <v>9.5</v>
      </c>
      <c r="I140" s="34">
        <f t="shared" si="106"/>
        <v>6</v>
      </c>
      <c r="J140" s="32">
        <f t="shared" si="103"/>
        <v>7</v>
      </c>
      <c r="K140" s="32">
        <f t="shared" si="103"/>
        <v>8</v>
      </c>
      <c r="L140" s="35">
        <f t="shared" si="104"/>
        <v>9</v>
      </c>
    </row>
    <row r="142" spans="1:12" ht="15.75" thickBot="1" x14ac:dyDescent="0.3">
      <c r="A142" s="1" t="s">
        <v>129</v>
      </c>
    </row>
    <row r="143" spans="1:12" ht="67.5" customHeight="1" thickBot="1" x14ac:dyDescent="0.3">
      <c r="A143" s="52" t="s">
        <v>53</v>
      </c>
      <c r="B143" s="51" t="s">
        <v>39</v>
      </c>
      <c r="C143" s="53" t="s">
        <v>48</v>
      </c>
      <c r="D143" s="54" t="s">
        <v>130</v>
      </c>
      <c r="E143" s="237" t="s">
        <v>57</v>
      </c>
      <c r="F143" s="238"/>
      <c r="G143" s="238"/>
      <c r="H143" s="238"/>
      <c r="I143" s="238"/>
      <c r="J143" s="238"/>
      <c r="K143" s="238"/>
      <c r="L143" s="239"/>
    </row>
    <row r="144" spans="1:12" x14ac:dyDescent="0.25">
      <c r="A144" s="63" t="s">
        <v>50</v>
      </c>
      <c r="B144" s="55" t="s">
        <v>40</v>
      </c>
      <c r="C144" s="56" t="s">
        <v>46</v>
      </c>
      <c r="D144" s="85">
        <v>2.5</v>
      </c>
      <c r="E144" s="26">
        <v>1.5</v>
      </c>
      <c r="F144" s="49">
        <v>2</v>
      </c>
      <c r="G144">
        <v>3</v>
      </c>
      <c r="H144" s="27">
        <v>4.5</v>
      </c>
      <c r="I144" s="28">
        <v>1.7</v>
      </c>
      <c r="J144">
        <v>2</v>
      </c>
      <c r="K144">
        <v>3</v>
      </c>
      <c r="L144" s="29">
        <v>4</v>
      </c>
    </row>
    <row r="145" spans="1:12" x14ac:dyDescent="0.25">
      <c r="A145" s="64" t="s">
        <v>51</v>
      </c>
      <c r="B145" s="43" t="s">
        <v>41</v>
      </c>
      <c r="C145" s="2" t="s">
        <v>45</v>
      </c>
      <c r="D145" s="85">
        <v>5</v>
      </c>
      <c r="E145" s="26">
        <v>3</v>
      </c>
      <c r="F145" s="49">
        <v>4.5</v>
      </c>
      <c r="G145">
        <v>5.5</v>
      </c>
      <c r="H145" s="27">
        <v>7</v>
      </c>
      <c r="I145" s="28">
        <v>3.5</v>
      </c>
      <c r="J145">
        <v>4.5</v>
      </c>
      <c r="K145">
        <v>5.5</v>
      </c>
      <c r="L145" s="29">
        <v>6.5</v>
      </c>
    </row>
    <row r="146" spans="1:12" ht="15.75" thickBot="1" x14ac:dyDescent="0.3">
      <c r="A146" s="65" t="s">
        <v>52</v>
      </c>
      <c r="B146" s="57" t="s">
        <v>42</v>
      </c>
      <c r="C146" s="58" t="s">
        <v>44</v>
      </c>
      <c r="D146" s="85">
        <v>7.5</v>
      </c>
      <c r="E146" s="30">
        <v>5.5</v>
      </c>
      <c r="F146" s="31">
        <v>7</v>
      </c>
      <c r="G146" s="32">
        <v>8</v>
      </c>
      <c r="H146" s="33">
        <v>9.5</v>
      </c>
      <c r="I146" s="34">
        <v>6</v>
      </c>
      <c r="J146" s="32">
        <v>7</v>
      </c>
      <c r="K146" s="32">
        <v>8</v>
      </c>
      <c r="L146" s="35">
        <v>9</v>
      </c>
    </row>
    <row r="148" spans="1:12" ht="15.75" thickBot="1" x14ac:dyDescent="0.3">
      <c r="A148" s="1" t="s">
        <v>131</v>
      </c>
    </row>
    <row r="149" spans="1:12" ht="30.75" thickBot="1" x14ac:dyDescent="0.3">
      <c r="A149" s="104" t="s">
        <v>63</v>
      </c>
      <c r="B149" s="105" t="s">
        <v>64</v>
      </c>
      <c r="E149" s="237" t="s">
        <v>65</v>
      </c>
      <c r="F149" s="238"/>
      <c r="G149" s="238"/>
      <c r="H149" s="238"/>
      <c r="I149" s="238"/>
      <c r="J149" s="238"/>
      <c r="K149" s="238"/>
      <c r="L149" s="239"/>
    </row>
    <row r="150" spans="1:12" x14ac:dyDescent="0.25">
      <c r="A150" s="63" t="s">
        <v>60</v>
      </c>
      <c r="B150" s="68" t="s">
        <v>47</v>
      </c>
      <c r="D150" s="71" t="s">
        <v>69</v>
      </c>
      <c r="E150" s="20">
        <f>E130*F$144+E$144*F130-F130*F$144</f>
        <v>0</v>
      </c>
      <c r="F150" s="22">
        <f>F130*F$144</f>
        <v>0</v>
      </c>
      <c r="G150" s="22">
        <f>G130*G$144</f>
        <v>0</v>
      </c>
      <c r="H150" s="23">
        <f>G130*H$144+G$144*H130-G130*G$144</f>
        <v>0.66</v>
      </c>
      <c r="I150" s="20">
        <f>I130*J$144+I$144*J130-J130*J$144</f>
        <v>0</v>
      </c>
      <c r="J150" s="22">
        <f>J130*J$144</f>
        <v>0</v>
      </c>
      <c r="K150" s="22">
        <f>K130*K$144</f>
        <v>0</v>
      </c>
      <c r="L150" s="23">
        <f>K130*L$144+K$144*L130-K130*K$144</f>
        <v>0.44999999999999996</v>
      </c>
    </row>
    <row r="151" spans="1:12" x14ac:dyDescent="0.25">
      <c r="A151" s="64" t="s">
        <v>60</v>
      </c>
      <c r="B151" s="69" t="s">
        <v>46</v>
      </c>
      <c r="D151" s="72" t="s">
        <v>68</v>
      </c>
      <c r="E151" s="26">
        <f>IF(E131*F$144+E$144*F131-F131*F$144&lt;0,0,E131*F$144+E$144*F131-F131*F$144)</f>
        <v>0</v>
      </c>
      <c r="F151">
        <f t="shared" ref="F151:G153" si="107">F131*F$144</f>
        <v>0.44000000000000006</v>
      </c>
      <c r="G151">
        <f t="shared" si="107"/>
        <v>1.32</v>
      </c>
      <c r="H151" s="27">
        <f t="shared" ref="H151:H153" si="108">G131*H$144+G$144*H131-G131*G$144</f>
        <v>2.3099999999999996</v>
      </c>
      <c r="I151" s="26">
        <f t="shared" ref="I151:I153" si="109">I131*J$144+I$144*J131-J131*J$144</f>
        <v>5.3999999999999992E-2</v>
      </c>
      <c r="J151">
        <f t="shared" ref="J151:K153" si="110">J131*J$144</f>
        <v>0.44000000000000006</v>
      </c>
      <c r="K151">
        <f t="shared" si="110"/>
        <v>1.32</v>
      </c>
      <c r="L151" s="27">
        <f t="shared" ref="L151:L153" si="111">K131*L$144+K$144*L131-K131*K$144</f>
        <v>2</v>
      </c>
    </row>
    <row r="152" spans="1:12" x14ac:dyDescent="0.25">
      <c r="A152" s="64" t="s">
        <v>60</v>
      </c>
      <c r="B152" s="69" t="s">
        <v>45</v>
      </c>
      <c r="D152" s="72" t="s">
        <v>67</v>
      </c>
      <c r="E152" s="26">
        <f t="shared" ref="E152:E153" si="112">E132*F$144+E$144*F132-F132*F$144</f>
        <v>0.60499999999999998</v>
      </c>
      <c r="F152">
        <f t="shared" si="107"/>
        <v>1.1000000000000001</v>
      </c>
      <c r="G152">
        <f t="shared" si="107"/>
        <v>2.31</v>
      </c>
      <c r="H152" s="27">
        <f t="shared" si="108"/>
        <v>4.1549999999999994</v>
      </c>
      <c r="I152" s="26">
        <f t="shared" si="109"/>
        <v>0.77499999999999991</v>
      </c>
      <c r="J152">
        <f t="shared" si="110"/>
        <v>1.1000000000000001</v>
      </c>
      <c r="K152">
        <f t="shared" si="110"/>
        <v>2.31</v>
      </c>
      <c r="L152" s="27">
        <f t="shared" si="111"/>
        <v>3.53</v>
      </c>
    </row>
    <row r="153" spans="1:12" ht="15.75" thickBot="1" x14ac:dyDescent="0.3">
      <c r="A153" s="65" t="s">
        <v>60</v>
      </c>
      <c r="B153" s="70" t="s">
        <v>44</v>
      </c>
      <c r="D153" s="73" t="s">
        <v>66</v>
      </c>
      <c r="E153" s="30">
        <f t="shared" si="112"/>
        <v>1.04</v>
      </c>
      <c r="F153" s="32">
        <f t="shared" si="107"/>
        <v>2</v>
      </c>
      <c r="G153" s="32">
        <f t="shared" si="107"/>
        <v>3</v>
      </c>
      <c r="H153" s="33">
        <f t="shared" si="108"/>
        <v>4.5</v>
      </c>
      <c r="I153" s="30">
        <f t="shared" si="109"/>
        <v>1.3599999999999999</v>
      </c>
      <c r="J153" s="32">
        <f t="shared" si="110"/>
        <v>2</v>
      </c>
      <c r="K153" s="32">
        <f t="shared" si="110"/>
        <v>3</v>
      </c>
      <c r="L153" s="33">
        <f t="shared" si="111"/>
        <v>4</v>
      </c>
    </row>
    <row r="154" spans="1:12" x14ac:dyDescent="0.25">
      <c r="A154" s="63" t="s">
        <v>61</v>
      </c>
      <c r="B154" s="68" t="s">
        <v>47</v>
      </c>
      <c r="D154" s="71" t="s">
        <v>70</v>
      </c>
      <c r="E154" s="20">
        <f>E130*F$145+E$145*F130-F130*F$145</f>
        <v>0</v>
      </c>
      <c r="F154" s="22">
        <f>F130*F$145</f>
        <v>0</v>
      </c>
      <c r="G154" s="22">
        <f>G130*G$145</f>
        <v>0</v>
      </c>
      <c r="H154" s="23">
        <f>G130*H$145+G$145*H130-G130*G$145</f>
        <v>1.21</v>
      </c>
      <c r="I154" s="20">
        <f>I130*J$145+I$145*J130-J130*J$145</f>
        <v>0</v>
      </c>
      <c r="J154" s="22">
        <f>J130*J$145</f>
        <v>0</v>
      </c>
      <c r="K154" s="22">
        <f>K130*K$145</f>
        <v>0</v>
      </c>
      <c r="L154" s="23">
        <f>K130*L$145+K$145*L130-K130*K$145</f>
        <v>0.82499999999999996</v>
      </c>
    </row>
    <row r="155" spans="1:12" x14ac:dyDescent="0.25">
      <c r="A155" s="64" t="s">
        <v>61</v>
      </c>
      <c r="B155" s="69" t="s">
        <v>46</v>
      </c>
      <c r="D155" s="72" t="s">
        <v>75</v>
      </c>
      <c r="E155" s="26">
        <f>IF(E131*F$145+E$145*F131-F131*F$145&lt;0,0,E131*F$145+E$145*F131-F131*F$145)</f>
        <v>0</v>
      </c>
      <c r="F155">
        <f t="shared" ref="F155:G157" si="113">F131*F$145</f>
        <v>0.9900000000000001</v>
      </c>
      <c r="G155">
        <f t="shared" si="113"/>
        <v>2.42</v>
      </c>
      <c r="H155" s="27">
        <f t="shared" ref="H155:H157" si="114">G131*H$145+G$145*H131-G131*G$145</f>
        <v>3.6850000000000005</v>
      </c>
      <c r="I155" s="26">
        <f t="shared" ref="I155:I157" si="115">I131*J$145+I$145*J131-J131*J$145</f>
        <v>4.9999999999999933E-2</v>
      </c>
      <c r="J155">
        <f t="shared" ref="J155:K157" si="116">J131*J$145</f>
        <v>0.9900000000000001</v>
      </c>
      <c r="K155">
        <f t="shared" si="116"/>
        <v>2.42</v>
      </c>
      <c r="L155" s="27">
        <f t="shared" ref="L155:L157" si="117">K131*L$145+K$145*L131-K131*K$145</f>
        <v>3.3000000000000007</v>
      </c>
    </row>
    <row r="156" spans="1:12" x14ac:dyDescent="0.25">
      <c r="A156" s="64" t="s">
        <v>61</v>
      </c>
      <c r="B156" s="69" t="s">
        <v>45</v>
      </c>
      <c r="D156" s="72" t="s">
        <v>76</v>
      </c>
      <c r="E156" s="26">
        <f t="shared" ref="E156:E157" si="118">E132*F$145+E$145*F132-F132*F$145</f>
        <v>1.1550000000000002</v>
      </c>
      <c r="F156">
        <f t="shared" si="113"/>
        <v>2.4750000000000001</v>
      </c>
      <c r="G156">
        <f t="shared" si="113"/>
        <v>4.2350000000000003</v>
      </c>
      <c r="H156" s="27">
        <f t="shared" si="114"/>
        <v>6.6550000000000002</v>
      </c>
      <c r="I156" s="26">
        <f t="shared" si="115"/>
        <v>1.5650000000000008</v>
      </c>
      <c r="J156">
        <f t="shared" si="116"/>
        <v>2.4750000000000001</v>
      </c>
      <c r="K156">
        <f t="shared" si="116"/>
        <v>4.2350000000000003</v>
      </c>
      <c r="L156" s="27">
        <f t="shared" si="117"/>
        <v>5.830000000000001</v>
      </c>
    </row>
    <row r="157" spans="1:12" ht="15.75" thickBot="1" x14ac:dyDescent="0.3">
      <c r="A157" s="65" t="s">
        <v>61</v>
      </c>
      <c r="B157" s="70" t="s">
        <v>44</v>
      </c>
      <c r="D157" s="73" t="s">
        <v>77</v>
      </c>
      <c r="E157" s="30">
        <f t="shared" si="118"/>
        <v>1.9649999999999999</v>
      </c>
      <c r="F157" s="32">
        <f t="shared" si="113"/>
        <v>4.5</v>
      </c>
      <c r="G157" s="32">
        <f t="shared" si="113"/>
        <v>5.5</v>
      </c>
      <c r="H157" s="33">
        <f t="shared" si="114"/>
        <v>7</v>
      </c>
      <c r="I157" s="30">
        <f t="shared" si="115"/>
        <v>2.7349999999999994</v>
      </c>
      <c r="J157" s="32">
        <f t="shared" si="116"/>
        <v>4.5</v>
      </c>
      <c r="K157" s="32">
        <f t="shared" si="116"/>
        <v>5.5</v>
      </c>
      <c r="L157" s="33">
        <f t="shared" si="117"/>
        <v>6.5</v>
      </c>
    </row>
    <row r="158" spans="1:12" x14ac:dyDescent="0.25">
      <c r="A158" s="63" t="s">
        <v>62</v>
      </c>
      <c r="B158" s="68" t="s">
        <v>47</v>
      </c>
      <c r="D158" s="71" t="s">
        <v>72</v>
      </c>
      <c r="E158" s="20">
        <f>E130*F$146+E$146*F130-F130*F$146</f>
        <v>0</v>
      </c>
      <c r="F158" s="22">
        <f>F130*F$146</f>
        <v>0</v>
      </c>
      <c r="G158" s="22">
        <f>G130*G$146</f>
        <v>0</v>
      </c>
      <c r="H158" s="23">
        <f>G130*H$146+G$146*H130-G130*G$146</f>
        <v>1.76</v>
      </c>
      <c r="I158" s="20">
        <f>I130*J$146+I$146*J130-J130*J$146</f>
        <v>0</v>
      </c>
      <c r="J158" s="22">
        <f>J130*J$146</f>
        <v>0</v>
      </c>
      <c r="K158" s="22">
        <f>K130*K$146</f>
        <v>0</v>
      </c>
      <c r="L158" s="23">
        <f>K130*L$146+K$146*L130-K130*K$146</f>
        <v>1.2</v>
      </c>
    </row>
    <row r="159" spans="1:12" x14ac:dyDescent="0.25">
      <c r="A159" s="64" t="s">
        <v>62</v>
      </c>
      <c r="B159" s="69" t="s">
        <v>46</v>
      </c>
      <c r="D159" s="72" t="s">
        <v>71</v>
      </c>
      <c r="E159" s="26">
        <f>IF(E131*F$146+E$146*F131-F131*F$146&lt;0,0,E131*F$146+E$146*F131-F131*F$146)</f>
        <v>0</v>
      </c>
      <c r="F159">
        <f t="shared" ref="F159:G161" si="119">F131*F$146</f>
        <v>1.5400000000000003</v>
      </c>
      <c r="G159">
        <f t="shared" si="119"/>
        <v>3.52</v>
      </c>
      <c r="H159" s="27">
        <f t="shared" ref="H159:H161" si="120">G131*H$146+G$146*H131-G131*G$146</f>
        <v>5.0600000000000005</v>
      </c>
      <c r="I159" s="26">
        <f t="shared" ref="I159:I161" si="121">I131*J$146+I$146*J131-J131*J$146</f>
        <v>0.19999999999999996</v>
      </c>
      <c r="J159">
        <f t="shared" ref="J159:K161" si="122">J131*J$146</f>
        <v>1.5400000000000003</v>
      </c>
      <c r="K159">
        <f t="shared" si="122"/>
        <v>3.52</v>
      </c>
      <c r="L159" s="27">
        <f t="shared" ref="L159:L161" si="123">K131*L$146+K$146*L131-K131*K$146</f>
        <v>4.6000000000000014</v>
      </c>
    </row>
    <row r="160" spans="1:12" x14ac:dyDescent="0.25">
      <c r="A160" s="64" t="s">
        <v>62</v>
      </c>
      <c r="B160" s="69" t="s">
        <v>45</v>
      </c>
      <c r="D160" s="72" t="s">
        <v>73</v>
      </c>
      <c r="E160" s="26">
        <f t="shared" ref="E160:E161" si="124">E132*F$146+E$146*F132-F132*F$146</f>
        <v>2.2549999999999999</v>
      </c>
      <c r="F160">
        <f t="shared" si="119"/>
        <v>3.8500000000000005</v>
      </c>
      <c r="G160">
        <f t="shared" si="119"/>
        <v>6.16</v>
      </c>
      <c r="H160" s="27">
        <f t="shared" si="120"/>
        <v>9.1550000000000011</v>
      </c>
      <c r="I160" s="26">
        <f t="shared" si="121"/>
        <v>2.7399999999999993</v>
      </c>
      <c r="J160">
        <f t="shared" si="122"/>
        <v>3.8500000000000005</v>
      </c>
      <c r="K160">
        <f t="shared" si="122"/>
        <v>6.16</v>
      </c>
      <c r="L160" s="27">
        <f t="shared" si="123"/>
        <v>8.129999999999999</v>
      </c>
    </row>
    <row r="161" spans="1:12" ht="15.75" thickBot="1" x14ac:dyDescent="0.3">
      <c r="A161" s="65" t="s">
        <v>62</v>
      </c>
      <c r="B161" s="70" t="s">
        <v>44</v>
      </c>
      <c r="D161" s="73" t="s">
        <v>74</v>
      </c>
      <c r="E161" s="30">
        <f t="shared" si="124"/>
        <v>3.8900000000000006</v>
      </c>
      <c r="F161" s="32">
        <f t="shared" si="119"/>
        <v>7</v>
      </c>
      <c r="G161" s="32">
        <f t="shared" si="119"/>
        <v>8</v>
      </c>
      <c r="H161" s="33">
        <f t="shared" si="120"/>
        <v>9.5</v>
      </c>
      <c r="I161" s="30">
        <f t="shared" si="121"/>
        <v>4.8099999999999987</v>
      </c>
      <c r="J161" s="32">
        <f t="shared" si="122"/>
        <v>7</v>
      </c>
      <c r="K161" s="32">
        <f t="shared" si="122"/>
        <v>8</v>
      </c>
      <c r="L161" s="33">
        <f t="shared" si="123"/>
        <v>9</v>
      </c>
    </row>
    <row r="163" spans="1:12" x14ac:dyDescent="0.25">
      <c r="A163" s="1" t="s">
        <v>146</v>
      </c>
    </row>
    <row r="164" spans="1:12" ht="15.75" thickBot="1" x14ac:dyDescent="0.3">
      <c r="A164" s="1" t="s">
        <v>133</v>
      </c>
    </row>
    <row r="165" spans="1:12" ht="15.75" thickBot="1" x14ac:dyDescent="0.3">
      <c r="A165" s="103" t="s">
        <v>106</v>
      </c>
      <c r="B165" s="114" t="s">
        <v>149</v>
      </c>
      <c r="C165" s="114" t="s">
        <v>150</v>
      </c>
    </row>
    <row r="166" spans="1:12" x14ac:dyDescent="0.25">
      <c r="A166" s="113" t="s">
        <v>107</v>
      </c>
      <c r="B166" s="106">
        <v>1</v>
      </c>
      <c r="C166" s="107">
        <f>B166/B$168</f>
        <v>0.5</v>
      </c>
    </row>
    <row r="167" spans="1:12" ht="15.75" thickBot="1" x14ac:dyDescent="0.3">
      <c r="A167" s="13" t="s">
        <v>108</v>
      </c>
      <c r="B167" s="9">
        <v>1</v>
      </c>
      <c r="C167" s="10">
        <f>B167/B$168</f>
        <v>0.5</v>
      </c>
    </row>
    <row r="168" spans="1:12" ht="15.75" thickBot="1" x14ac:dyDescent="0.3">
      <c r="A168" s="14" t="s">
        <v>148</v>
      </c>
      <c r="B168" s="115">
        <f>SUM(B166:B167)</f>
        <v>2</v>
      </c>
      <c r="C168" s="116">
        <f>SUM(C166:C167)</f>
        <v>1</v>
      </c>
    </row>
    <row r="170" spans="1:12" x14ac:dyDescent="0.25">
      <c r="A170" s="1" t="s">
        <v>147</v>
      </c>
    </row>
    <row r="171" spans="1:12" ht="15.75" thickBot="1" x14ac:dyDescent="0.3">
      <c r="A171" s="1" t="s">
        <v>135</v>
      </c>
    </row>
    <row r="172" spans="1:12" ht="15" customHeight="1" thickBot="1" x14ac:dyDescent="0.3">
      <c r="A172" s="111" t="s">
        <v>106</v>
      </c>
      <c r="B172" s="52" t="s">
        <v>149</v>
      </c>
      <c r="C172" s="120" t="s">
        <v>150</v>
      </c>
    </row>
    <row r="173" spans="1:12" x14ac:dyDescent="0.25">
      <c r="A173" s="113" t="s">
        <v>107</v>
      </c>
      <c r="B173" s="11">
        <v>0.75</v>
      </c>
      <c r="C173" s="121">
        <f>B173/B$176</f>
        <v>0.3</v>
      </c>
    </row>
    <row r="174" spans="1:12" x14ac:dyDescent="0.25">
      <c r="A174" s="12" t="s">
        <v>108</v>
      </c>
      <c r="B174" s="12">
        <v>0.75</v>
      </c>
      <c r="C174" s="96">
        <f t="shared" ref="C174:C175" si="125">B174/B$176</f>
        <v>0.3</v>
      </c>
    </row>
    <row r="175" spans="1:12" ht="15.75" thickBot="1" x14ac:dyDescent="0.3">
      <c r="A175" s="117" t="s">
        <v>134</v>
      </c>
      <c r="B175" s="117">
        <v>1</v>
      </c>
      <c r="C175" s="97">
        <f t="shared" si="125"/>
        <v>0.4</v>
      </c>
    </row>
    <row r="176" spans="1:12" ht="15.75" thickBot="1" x14ac:dyDescent="0.3">
      <c r="A176" s="14" t="s">
        <v>148</v>
      </c>
      <c r="B176" s="118">
        <f>SUM(B173:B175)</f>
        <v>2.5</v>
      </c>
      <c r="C176" s="119">
        <f>SUM(C173:C175)</f>
        <v>1</v>
      </c>
    </row>
    <row r="178" spans="1:26" ht="15.75" thickBot="1" x14ac:dyDescent="0.3">
      <c r="A178" t="s">
        <v>139</v>
      </c>
    </row>
    <row r="179" spans="1:26" ht="15.75" thickBot="1" x14ac:dyDescent="0.3">
      <c r="A179" s="233" t="s">
        <v>27</v>
      </c>
      <c r="B179" s="229" t="s">
        <v>136</v>
      </c>
      <c r="C179" s="235"/>
      <c r="D179" s="235"/>
      <c r="E179" s="235"/>
      <c r="F179" s="235"/>
      <c r="G179" s="235"/>
      <c r="H179" s="235"/>
      <c r="I179" s="236"/>
      <c r="J179" s="229" t="s">
        <v>137</v>
      </c>
      <c r="K179" s="235"/>
      <c r="L179" s="235"/>
      <c r="M179" s="235"/>
      <c r="N179" s="235"/>
      <c r="O179" s="235"/>
      <c r="P179" s="235"/>
      <c r="Q179" s="236"/>
      <c r="R179" s="229" t="s">
        <v>138</v>
      </c>
      <c r="S179" s="235"/>
      <c r="T179" s="235"/>
      <c r="U179" s="235"/>
      <c r="V179" s="235"/>
      <c r="W179" s="235"/>
      <c r="X179" s="235"/>
      <c r="Y179" s="236"/>
    </row>
    <row r="180" spans="1:26" ht="33.75" customHeight="1" thickBot="1" x14ac:dyDescent="0.3">
      <c r="A180" s="234"/>
      <c r="B180" s="226" t="s">
        <v>3</v>
      </c>
      <c r="C180" s="227"/>
      <c r="D180" s="227"/>
      <c r="E180" s="228"/>
      <c r="F180" s="229" t="s">
        <v>4</v>
      </c>
      <c r="G180" s="227"/>
      <c r="H180" s="227"/>
      <c r="I180" s="228"/>
      <c r="J180" s="226" t="s">
        <v>3</v>
      </c>
      <c r="K180" s="227"/>
      <c r="L180" s="227"/>
      <c r="M180" s="228"/>
      <c r="N180" s="229" t="s">
        <v>4</v>
      </c>
      <c r="O180" s="227"/>
      <c r="P180" s="227"/>
      <c r="Q180" s="228"/>
      <c r="R180" s="226" t="s">
        <v>3</v>
      </c>
      <c r="S180" s="227"/>
      <c r="T180" s="227"/>
      <c r="U180" s="228"/>
      <c r="V180" s="229" t="s">
        <v>4</v>
      </c>
      <c r="W180" s="227"/>
      <c r="X180" s="227"/>
      <c r="Y180" s="228"/>
    </row>
    <row r="181" spans="1:26" x14ac:dyDescent="0.25">
      <c r="A181" s="102" t="s">
        <v>25</v>
      </c>
      <c r="B181" s="6">
        <f t="shared" ref="B181:B190" si="126">BG13</f>
        <v>6.4600000000000009</v>
      </c>
      <c r="C181" s="7">
        <f t="shared" ref="C181:C190" si="127">BH13</f>
        <v>12.6</v>
      </c>
      <c r="D181" s="7">
        <f t="shared" ref="D181:D190" si="128">BI13</f>
        <v>15.81</v>
      </c>
      <c r="E181" s="8">
        <f t="shared" ref="E181:E190" si="129">BJ13</f>
        <v>20.655000000000001</v>
      </c>
      <c r="F181" s="6">
        <f t="shared" ref="F181:F190" si="130">BK13</f>
        <v>8.3199999999999985</v>
      </c>
      <c r="G181" s="7">
        <f t="shared" ref="G181:G190" si="131">BL13</f>
        <v>12.6</v>
      </c>
      <c r="H181" s="7">
        <f t="shared" ref="H181:H190" si="132">BM13</f>
        <v>15.81</v>
      </c>
      <c r="I181" s="100">
        <f t="shared" ref="I181:I190" si="133">BN13</f>
        <v>19.03</v>
      </c>
      <c r="J181" s="6">
        <f t="shared" ref="J181:J190" si="134">BG65</f>
        <v>4.22</v>
      </c>
      <c r="K181" s="7">
        <f t="shared" ref="K181:K190" si="135">BH65</f>
        <v>9.89</v>
      </c>
      <c r="L181" s="7">
        <f t="shared" ref="L181:L190" si="136">BI65</f>
        <v>15.18</v>
      </c>
      <c r="M181" s="8">
        <f t="shared" ref="M181:M190" si="137">BJ65</f>
        <v>21.215000000000003</v>
      </c>
      <c r="N181" s="6">
        <f t="shared" ref="N181:N190" si="138">BK65</f>
        <v>5.6749999999999989</v>
      </c>
      <c r="O181" s="7">
        <f t="shared" ref="O181:O190" si="139">BL65</f>
        <v>9.89</v>
      </c>
      <c r="P181" s="7">
        <f t="shared" ref="P181:P190" si="140">BM65</f>
        <v>15.18</v>
      </c>
      <c r="Q181" s="8">
        <f t="shared" ref="Q181:Q190" si="141">BN65</f>
        <v>19.23</v>
      </c>
      <c r="R181" s="6">
        <f t="shared" ref="R181:R190" si="142">BG117</f>
        <v>5.0450000000000008</v>
      </c>
      <c r="S181" s="7">
        <f t="shared" ref="S181:S190" si="143">BH117</f>
        <v>9.9149999999999991</v>
      </c>
      <c r="T181" s="7">
        <f t="shared" ref="T181:T190" si="144">BI117</f>
        <v>13.555</v>
      </c>
      <c r="U181" s="8">
        <f t="shared" ref="U181:U190" si="145">BJ117</f>
        <v>18.465</v>
      </c>
      <c r="V181" s="6">
        <f t="shared" ref="V181:V190" si="146">BK117</f>
        <v>6.4289999999999994</v>
      </c>
      <c r="W181" s="7">
        <f t="shared" ref="W181:W190" si="147">BL117</f>
        <v>9.9149999999999991</v>
      </c>
      <c r="X181" s="7">
        <f t="shared" ref="X181:X190" si="148">BM117</f>
        <v>13.555</v>
      </c>
      <c r="Y181" s="8">
        <f t="shared" ref="Y181:Y190" si="149">BN117</f>
        <v>16.830000000000002</v>
      </c>
    </row>
    <row r="182" spans="1:26" x14ac:dyDescent="0.25">
      <c r="A182" s="98" t="s">
        <v>14</v>
      </c>
      <c r="B182" s="4">
        <f t="shared" si="126"/>
        <v>1.1550000000000002</v>
      </c>
      <c r="C182" s="2">
        <f t="shared" si="127"/>
        <v>4.4550000000000001</v>
      </c>
      <c r="D182" s="2">
        <f t="shared" si="128"/>
        <v>9.0749999999999993</v>
      </c>
      <c r="E182" s="5">
        <f t="shared" si="129"/>
        <v>14.025</v>
      </c>
      <c r="F182" s="4">
        <f t="shared" si="130"/>
        <v>1.8190000000000008</v>
      </c>
      <c r="G182" s="2">
        <f t="shared" si="131"/>
        <v>4.4550000000000001</v>
      </c>
      <c r="H182" s="2">
        <f t="shared" si="132"/>
        <v>9.0749999999999993</v>
      </c>
      <c r="I182" s="94">
        <f t="shared" si="133"/>
        <v>12.430000000000003</v>
      </c>
      <c r="J182" s="4">
        <f t="shared" si="134"/>
        <v>1.1550000000000002</v>
      </c>
      <c r="K182" s="2">
        <f t="shared" si="135"/>
        <v>5.5550000000000006</v>
      </c>
      <c r="L182" s="2">
        <f t="shared" si="136"/>
        <v>11.275</v>
      </c>
      <c r="M182" s="5">
        <f t="shared" si="137"/>
        <v>16.775000000000002</v>
      </c>
      <c r="N182" s="4">
        <f t="shared" si="138"/>
        <v>1.9650000000000007</v>
      </c>
      <c r="O182" s="2">
        <f t="shared" si="139"/>
        <v>5.5550000000000006</v>
      </c>
      <c r="P182" s="2">
        <f t="shared" si="140"/>
        <v>11.275</v>
      </c>
      <c r="Q182" s="5">
        <f t="shared" si="141"/>
        <v>15.030000000000005</v>
      </c>
      <c r="R182" s="4">
        <f t="shared" si="142"/>
        <v>0.60499999999999998</v>
      </c>
      <c r="S182" s="2">
        <f t="shared" si="143"/>
        <v>3.6300000000000008</v>
      </c>
      <c r="T182" s="2">
        <f t="shared" si="144"/>
        <v>8.25</v>
      </c>
      <c r="U182" s="5">
        <f t="shared" si="145"/>
        <v>12.9</v>
      </c>
      <c r="V182" s="4">
        <f t="shared" si="146"/>
        <v>1.0249999999999999</v>
      </c>
      <c r="W182" s="2">
        <f t="shared" si="147"/>
        <v>3.6300000000000008</v>
      </c>
      <c r="X182" s="2">
        <f t="shared" si="148"/>
        <v>8.25</v>
      </c>
      <c r="Y182" s="5">
        <f t="shared" si="149"/>
        <v>11.430000000000001</v>
      </c>
    </row>
    <row r="183" spans="1:26" x14ac:dyDescent="0.25">
      <c r="A183" s="98" t="s">
        <v>15</v>
      </c>
      <c r="B183" s="4">
        <f t="shared" si="126"/>
        <v>4.0150000000000006</v>
      </c>
      <c r="C183" s="2">
        <f t="shared" si="127"/>
        <v>7.4250000000000007</v>
      </c>
      <c r="D183" s="2">
        <f t="shared" si="128"/>
        <v>12.705000000000002</v>
      </c>
      <c r="E183" s="5">
        <f t="shared" si="129"/>
        <v>19.965</v>
      </c>
      <c r="F183" s="4">
        <f t="shared" si="130"/>
        <v>5.08</v>
      </c>
      <c r="G183" s="2">
        <f t="shared" si="131"/>
        <v>7.4250000000000007</v>
      </c>
      <c r="H183" s="2">
        <f t="shared" si="132"/>
        <v>12.705000000000002</v>
      </c>
      <c r="I183" s="94">
        <f t="shared" si="133"/>
        <v>17.489999999999998</v>
      </c>
      <c r="J183" s="4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5">
        <f t="shared" si="137"/>
        <v>25.310000000000002</v>
      </c>
      <c r="N183" s="4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5">
        <f t="shared" si="141"/>
        <v>22.96</v>
      </c>
      <c r="R183" s="4">
        <f t="shared" si="142"/>
        <v>4.8249999999999993</v>
      </c>
      <c r="S183" s="2">
        <f t="shared" si="143"/>
        <v>9.4499999999999993</v>
      </c>
      <c r="T183" s="2">
        <f t="shared" si="144"/>
        <v>13.97</v>
      </c>
      <c r="U183" s="5">
        <f t="shared" si="145"/>
        <v>20.310000000000002</v>
      </c>
      <c r="V183" s="4">
        <f t="shared" si="146"/>
        <v>6.2499999999999982</v>
      </c>
      <c r="W183" s="2">
        <f t="shared" si="147"/>
        <v>9.4499999999999993</v>
      </c>
      <c r="X183" s="2">
        <f t="shared" si="148"/>
        <v>13.97</v>
      </c>
      <c r="Y183" s="5">
        <f t="shared" si="149"/>
        <v>18.159999999999997</v>
      </c>
    </row>
    <row r="184" spans="1:26" x14ac:dyDescent="0.25">
      <c r="A184" s="98" t="s">
        <v>16</v>
      </c>
      <c r="B184" s="4">
        <f t="shared" si="126"/>
        <v>5.6500000000000012</v>
      </c>
      <c r="C184" s="2">
        <f t="shared" si="127"/>
        <v>10.574999999999999</v>
      </c>
      <c r="D184" s="2">
        <f t="shared" si="128"/>
        <v>14.545000000000002</v>
      </c>
      <c r="E184" s="5">
        <f t="shared" si="129"/>
        <v>20.309999999999999</v>
      </c>
      <c r="F184" s="4">
        <f t="shared" si="130"/>
        <v>7.15</v>
      </c>
      <c r="G184" s="2">
        <f t="shared" si="131"/>
        <v>10.574999999999999</v>
      </c>
      <c r="H184" s="2">
        <f t="shared" si="132"/>
        <v>14.545000000000002</v>
      </c>
      <c r="I184" s="94">
        <f t="shared" si="133"/>
        <v>18.36</v>
      </c>
      <c r="J184" s="4">
        <f t="shared" si="134"/>
        <v>6.1450000000000005</v>
      </c>
      <c r="K184" s="2">
        <f t="shared" si="135"/>
        <v>11.840000000000002</v>
      </c>
      <c r="L184" s="2">
        <f t="shared" si="136"/>
        <v>16.579999999999998</v>
      </c>
      <c r="M184" s="5">
        <f t="shared" si="137"/>
        <v>22.340000000000003</v>
      </c>
      <c r="N184" s="4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5">
        <f t="shared" si="141"/>
        <v>20.43</v>
      </c>
      <c r="R184" s="4">
        <f t="shared" si="142"/>
        <v>2.1950000000000003</v>
      </c>
      <c r="S184" s="2">
        <f t="shared" si="143"/>
        <v>6.0149999999999997</v>
      </c>
      <c r="T184" s="2">
        <f t="shared" si="144"/>
        <v>10.755000000000001</v>
      </c>
      <c r="U184" s="5">
        <f t="shared" si="145"/>
        <v>16.215000000000003</v>
      </c>
      <c r="V184" s="4">
        <f t="shared" si="146"/>
        <v>3.1250000000000009</v>
      </c>
      <c r="W184" s="2">
        <f t="shared" si="147"/>
        <v>6.0149999999999997</v>
      </c>
      <c r="X184" s="2">
        <f t="shared" si="148"/>
        <v>10.755000000000001</v>
      </c>
      <c r="Y184" s="5">
        <f t="shared" si="149"/>
        <v>14.430000000000003</v>
      </c>
    </row>
    <row r="185" spans="1:26" x14ac:dyDescent="0.25">
      <c r="A185" s="98" t="s">
        <v>18</v>
      </c>
      <c r="B185" s="4">
        <f t="shared" si="126"/>
        <v>4.45</v>
      </c>
      <c r="C185" s="2">
        <f t="shared" si="127"/>
        <v>8.3250000000000011</v>
      </c>
      <c r="D185" s="2">
        <f t="shared" si="128"/>
        <v>13.395</v>
      </c>
      <c r="E185" s="5">
        <f t="shared" si="129"/>
        <v>20.310000000000002</v>
      </c>
      <c r="F185" s="4">
        <f t="shared" si="130"/>
        <v>5.6650000000000009</v>
      </c>
      <c r="G185" s="2">
        <f t="shared" si="131"/>
        <v>8.3250000000000011</v>
      </c>
      <c r="H185" s="2">
        <f t="shared" si="132"/>
        <v>13.395</v>
      </c>
      <c r="I185" s="94">
        <f t="shared" si="133"/>
        <v>17.96</v>
      </c>
      <c r="J185" s="4">
        <f t="shared" si="134"/>
        <v>7.3000000000000007</v>
      </c>
      <c r="K185" s="2">
        <f t="shared" si="135"/>
        <v>13.325000000000001</v>
      </c>
      <c r="L185" s="2">
        <f t="shared" si="136"/>
        <v>18.395</v>
      </c>
      <c r="M185" s="5">
        <f t="shared" si="137"/>
        <v>25.310000000000002</v>
      </c>
      <c r="N185" s="4">
        <f t="shared" si="138"/>
        <v>9.1149999999999984</v>
      </c>
      <c r="O185" s="2">
        <f t="shared" si="139"/>
        <v>13.325000000000001</v>
      </c>
      <c r="P185" s="2">
        <f t="shared" si="140"/>
        <v>18.395</v>
      </c>
      <c r="Q185" s="5">
        <f t="shared" si="141"/>
        <v>22.96</v>
      </c>
      <c r="R185" s="4">
        <f t="shared" si="142"/>
        <v>2.57</v>
      </c>
      <c r="S185" s="2">
        <f t="shared" si="143"/>
        <v>7.14</v>
      </c>
      <c r="T185" s="2">
        <f t="shared" si="144"/>
        <v>11.33</v>
      </c>
      <c r="U185" s="5">
        <f t="shared" si="145"/>
        <v>16.215</v>
      </c>
      <c r="V185" s="4">
        <f t="shared" si="146"/>
        <v>3.7099999999999991</v>
      </c>
      <c r="W185" s="2">
        <f t="shared" si="147"/>
        <v>7.14</v>
      </c>
      <c r="X185" s="2">
        <f t="shared" si="148"/>
        <v>11.33</v>
      </c>
      <c r="Y185" s="5">
        <f t="shared" si="149"/>
        <v>14.63</v>
      </c>
    </row>
    <row r="186" spans="1:26" x14ac:dyDescent="0.25">
      <c r="A186" s="98" t="s">
        <v>19</v>
      </c>
      <c r="B186" s="4">
        <f t="shared" si="126"/>
        <v>4.495000000000001</v>
      </c>
      <c r="C186" s="2">
        <f t="shared" si="127"/>
        <v>9.09</v>
      </c>
      <c r="D186" s="2">
        <f t="shared" si="128"/>
        <v>12.73</v>
      </c>
      <c r="E186" s="5">
        <f t="shared" si="129"/>
        <v>17.34</v>
      </c>
      <c r="F186" s="4">
        <f t="shared" si="130"/>
        <v>5.6349999999999989</v>
      </c>
      <c r="G186" s="2">
        <f t="shared" si="131"/>
        <v>9.09</v>
      </c>
      <c r="H186" s="2">
        <f t="shared" si="132"/>
        <v>12.73</v>
      </c>
      <c r="I186" s="94">
        <f t="shared" si="133"/>
        <v>15.83</v>
      </c>
      <c r="J186" s="4">
        <f t="shared" si="134"/>
        <v>6.1450000000000005</v>
      </c>
      <c r="K186" s="2">
        <f t="shared" si="135"/>
        <v>11.840000000000002</v>
      </c>
      <c r="L186" s="2">
        <f t="shared" si="136"/>
        <v>16.579999999999998</v>
      </c>
      <c r="M186" s="5">
        <f t="shared" si="137"/>
        <v>22.340000000000003</v>
      </c>
      <c r="N186" s="4">
        <f t="shared" si="138"/>
        <v>7.5999999999999979</v>
      </c>
      <c r="O186" s="2">
        <f t="shared" si="139"/>
        <v>11.840000000000002</v>
      </c>
      <c r="P186" s="2">
        <f t="shared" si="140"/>
        <v>16.579999999999998</v>
      </c>
      <c r="Q186" s="5">
        <f t="shared" si="141"/>
        <v>20.43</v>
      </c>
      <c r="R186" s="4">
        <f t="shared" si="142"/>
        <v>1.1550000000000002</v>
      </c>
      <c r="S186" s="2">
        <f t="shared" si="143"/>
        <v>4.4550000000000001</v>
      </c>
      <c r="T186" s="2">
        <f t="shared" si="144"/>
        <v>9.0750000000000011</v>
      </c>
      <c r="U186" s="5">
        <f t="shared" si="145"/>
        <v>14.025</v>
      </c>
      <c r="V186" s="4">
        <f t="shared" si="146"/>
        <v>1.8190000000000008</v>
      </c>
      <c r="W186" s="2">
        <f t="shared" si="147"/>
        <v>4.4550000000000001</v>
      </c>
      <c r="X186" s="2">
        <f t="shared" si="148"/>
        <v>9.0750000000000011</v>
      </c>
      <c r="Y186" s="5">
        <f t="shared" si="149"/>
        <v>12.430000000000003</v>
      </c>
    </row>
    <row r="187" spans="1:26" x14ac:dyDescent="0.25">
      <c r="A187" s="98" t="s">
        <v>20</v>
      </c>
      <c r="B187" s="4">
        <f t="shared" si="126"/>
        <v>4.495000000000001</v>
      </c>
      <c r="C187" s="2">
        <f t="shared" si="127"/>
        <v>9.09</v>
      </c>
      <c r="D187" s="2">
        <f t="shared" si="128"/>
        <v>12.73</v>
      </c>
      <c r="E187" s="5">
        <f t="shared" si="129"/>
        <v>17.34</v>
      </c>
      <c r="F187" s="4">
        <f t="shared" si="130"/>
        <v>5.6349999999999989</v>
      </c>
      <c r="G187" s="2">
        <f t="shared" si="131"/>
        <v>9.09</v>
      </c>
      <c r="H187" s="2">
        <f t="shared" si="132"/>
        <v>12.73</v>
      </c>
      <c r="I187" s="94">
        <f t="shared" si="133"/>
        <v>15.83</v>
      </c>
      <c r="J187" s="4">
        <f t="shared" si="134"/>
        <v>6.1450000000000005</v>
      </c>
      <c r="K187" s="2">
        <f t="shared" si="135"/>
        <v>11.840000000000002</v>
      </c>
      <c r="L187" s="2">
        <f t="shared" si="136"/>
        <v>16.579999999999998</v>
      </c>
      <c r="M187" s="5">
        <f t="shared" si="137"/>
        <v>22.340000000000003</v>
      </c>
      <c r="N187" s="4">
        <f t="shared" si="138"/>
        <v>7.5999999999999979</v>
      </c>
      <c r="O187" s="2">
        <f t="shared" si="139"/>
        <v>11.840000000000002</v>
      </c>
      <c r="P187" s="2">
        <f t="shared" si="140"/>
        <v>16.579999999999998</v>
      </c>
      <c r="Q187" s="5">
        <f t="shared" si="141"/>
        <v>20.43</v>
      </c>
      <c r="R187" s="4">
        <f t="shared" si="142"/>
        <v>2.1950000000000003</v>
      </c>
      <c r="S187" s="2">
        <f t="shared" si="143"/>
        <v>6.0149999999999997</v>
      </c>
      <c r="T187" s="2">
        <f t="shared" si="144"/>
        <v>10.755000000000001</v>
      </c>
      <c r="U187" s="5">
        <f t="shared" si="145"/>
        <v>16.215000000000003</v>
      </c>
      <c r="V187" s="4">
        <f t="shared" si="146"/>
        <v>3.1250000000000009</v>
      </c>
      <c r="W187" s="2">
        <f t="shared" si="147"/>
        <v>6.0149999999999997</v>
      </c>
      <c r="X187" s="2">
        <f t="shared" si="148"/>
        <v>10.755000000000001</v>
      </c>
      <c r="Y187" s="5">
        <f t="shared" si="149"/>
        <v>14.430000000000003</v>
      </c>
    </row>
    <row r="188" spans="1:26" x14ac:dyDescent="0.25">
      <c r="A188" s="98" t="s">
        <v>21</v>
      </c>
      <c r="B188" s="4">
        <f t="shared" si="126"/>
        <v>5.26</v>
      </c>
      <c r="C188" s="2">
        <f t="shared" si="127"/>
        <v>10.350000000000001</v>
      </c>
      <c r="D188" s="2">
        <f t="shared" si="128"/>
        <v>14.66</v>
      </c>
      <c r="E188" s="5">
        <f t="shared" si="129"/>
        <v>20.655000000000001</v>
      </c>
      <c r="F188" s="4">
        <f t="shared" si="130"/>
        <v>6.8349999999999991</v>
      </c>
      <c r="G188" s="2">
        <f t="shared" si="131"/>
        <v>10.350000000000001</v>
      </c>
      <c r="H188" s="2">
        <f t="shared" si="132"/>
        <v>14.66</v>
      </c>
      <c r="I188" s="94">
        <f t="shared" si="133"/>
        <v>18.63</v>
      </c>
      <c r="J188" s="4">
        <f t="shared" si="134"/>
        <v>4.22</v>
      </c>
      <c r="K188" s="2">
        <f t="shared" si="135"/>
        <v>9.89</v>
      </c>
      <c r="L188" s="2">
        <f t="shared" si="136"/>
        <v>15.18</v>
      </c>
      <c r="M188" s="5">
        <f t="shared" si="137"/>
        <v>21.215000000000003</v>
      </c>
      <c r="N188" s="4">
        <f t="shared" si="138"/>
        <v>5.6749999999999989</v>
      </c>
      <c r="O188" s="2">
        <f t="shared" si="139"/>
        <v>9.89</v>
      </c>
      <c r="P188" s="2">
        <f t="shared" si="140"/>
        <v>15.18</v>
      </c>
      <c r="Q188" s="5">
        <f t="shared" si="141"/>
        <v>19.23</v>
      </c>
      <c r="R188" s="4">
        <f t="shared" si="142"/>
        <v>4.495000000000001</v>
      </c>
      <c r="S188" s="2">
        <f t="shared" si="143"/>
        <v>9.09</v>
      </c>
      <c r="T188" s="2">
        <f t="shared" si="144"/>
        <v>12.73</v>
      </c>
      <c r="U188" s="5">
        <f t="shared" si="145"/>
        <v>17.34</v>
      </c>
      <c r="V188" s="4">
        <f t="shared" si="146"/>
        <v>5.6349999999999989</v>
      </c>
      <c r="W188" s="2">
        <f t="shared" si="147"/>
        <v>9.09</v>
      </c>
      <c r="X188" s="2">
        <f t="shared" si="148"/>
        <v>12.73</v>
      </c>
      <c r="Y188" s="5">
        <f t="shared" si="149"/>
        <v>15.83</v>
      </c>
    </row>
    <row r="189" spans="1:26" x14ac:dyDescent="0.25">
      <c r="A189" s="98" t="s">
        <v>23</v>
      </c>
      <c r="B189" s="4">
        <f t="shared" si="126"/>
        <v>4.45</v>
      </c>
      <c r="C189" s="2">
        <f t="shared" si="127"/>
        <v>8.3250000000000011</v>
      </c>
      <c r="D189" s="2">
        <f t="shared" si="128"/>
        <v>13.395</v>
      </c>
      <c r="E189" s="5">
        <f t="shared" si="129"/>
        <v>20.310000000000002</v>
      </c>
      <c r="F189" s="4">
        <f t="shared" si="130"/>
        <v>5.6650000000000009</v>
      </c>
      <c r="G189" s="2">
        <f t="shared" si="131"/>
        <v>8.3250000000000011</v>
      </c>
      <c r="H189" s="2">
        <f t="shared" si="132"/>
        <v>13.395</v>
      </c>
      <c r="I189" s="94">
        <f t="shared" si="133"/>
        <v>17.96</v>
      </c>
      <c r="J189" s="4">
        <f t="shared" si="134"/>
        <v>5.0450000000000008</v>
      </c>
      <c r="K189" s="2">
        <f t="shared" si="135"/>
        <v>11.015000000000001</v>
      </c>
      <c r="L189" s="2">
        <f t="shared" si="136"/>
        <v>15.754999999999999</v>
      </c>
      <c r="M189" s="5">
        <f t="shared" si="137"/>
        <v>21.215</v>
      </c>
      <c r="N189" s="4">
        <f t="shared" si="138"/>
        <v>6.5749999999999993</v>
      </c>
      <c r="O189" s="2">
        <f t="shared" si="139"/>
        <v>11.015000000000001</v>
      </c>
      <c r="P189" s="2">
        <f t="shared" si="140"/>
        <v>15.754999999999999</v>
      </c>
      <c r="Q189" s="5">
        <f t="shared" si="141"/>
        <v>19.430000000000003</v>
      </c>
      <c r="R189" s="4">
        <f t="shared" si="142"/>
        <v>2.57</v>
      </c>
      <c r="S189" s="2">
        <f t="shared" si="143"/>
        <v>7.14</v>
      </c>
      <c r="T189" s="2">
        <f t="shared" si="144"/>
        <v>11.33</v>
      </c>
      <c r="U189" s="5">
        <f t="shared" si="145"/>
        <v>16.215</v>
      </c>
      <c r="V189" s="4">
        <f t="shared" si="146"/>
        <v>3.7099999999999991</v>
      </c>
      <c r="W189" s="2">
        <f t="shared" si="147"/>
        <v>7.14</v>
      </c>
      <c r="X189" s="2">
        <f t="shared" si="148"/>
        <v>11.33</v>
      </c>
      <c r="Y189" s="5">
        <f t="shared" si="149"/>
        <v>14.63</v>
      </c>
    </row>
    <row r="190" spans="1:26" ht="15.75" thickBot="1" x14ac:dyDescent="0.3">
      <c r="A190" s="99" t="s">
        <v>24</v>
      </c>
      <c r="B190" s="95">
        <f t="shared" si="126"/>
        <v>2.1950000000000003</v>
      </c>
      <c r="C190" s="58">
        <f t="shared" si="127"/>
        <v>6.0150000000000006</v>
      </c>
      <c r="D190" s="58">
        <f t="shared" si="128"/>
        <v>10.754999999999999</v>
      </c>
      <c r="E190" s="62">
        <f t="shared" si="129"/>
        <v>16.215</v>
      </c>
      <c r="F190" s="95">
        <f t="shared" si="130"/>
        <v>3.1250000000000009</v>
      </c>
      <c r="G190" s="58">
        <f t="shared" si="131"/>
        <v>6.0150000000000006</v>
      </c>
      <c r="H190" s="58">
        <f t="shared" si="132"/>
        <v>10.754999999999999</v>
      </c>
      <c r="I190" s="101">
        <f t="shared" si="133"/>
        <v>14.430000000000003</v>
      </c>
      <c r="J190" s="95">
        <f t="shared" si="134"/>
        <v>5.0450000000000008</v>
      </c>
      <c r="K190" s="58">
        <f t="shared" si="135"/>
        <v>11.015000000000001</v>
      </c>
      <c r="L190" s="58">
        <f t="shared" si="136"/>
        <v>15.754999999999999</v>
      </c>
      <c r="M190" s="62">
        <f t="shared" si="137"/>
        <v>21.215</v>
      </c>
      <c r="N190" s="95">
        <f t="shared" si="138"/>
        <v>6.5749999999999993</v>
      </c>
      <c r="O190" s="58">
        <f t="shared" si="139"/>
        <v>11.015000000000001</v>
      </c>
      <c r="P190" s="58">
        <f t="shared" si="140"/>
        <v>15.754999999999999</v>
      </c>
      <c r="Q190" s="62">
        <f t="shared" si="141"/>
        <v>19.430000000000003</v>
      </c>
      <c r="R190" s="95">
        <f t="shared" si="142"/>
        <v>4.22</v>
      </c>
      <c r="S190" s="58">
        <f t="shared" si="143"/>
        <v>8.7900000000000009</v>
      </c>
      <c r="T190" s="58">
        <f t="shared" si="144"/>
        <v>12.98</v>
      </c>
      <c r="U190" s="62">
        <f t="shared" si="145"/>
        <v>18.465</v>
      </c>
      <c r="V190" s="95">
        <f t="shared" si="146"/>
        <v>5.5289999999999981</v>
      </c>
      <c r="W190" s="58">
        <f t="shared" si="147"/>
        <v>8.7900000000000009</v>
      </c>
      <c r="X190" s="58">
        <f t="shared" si="148"/>
        <v>12.98</v>
      </c>
      <c r="Y190" s="62">
        <f t="shared" si="149"/>
        <v>16.63</v>
      </c>
    </row>
    <row r="192" spans="1:26" ht="15.75" thickBot="1" x14ac:dyDescent="0.3">
      <c r="A192" t="s">
        <v>140</v>
      </c>
      <c r="Z192">
        <v>0.8</v>
      </c>
    </row>
    <row r="193" spans="1:40" ht="33" customHeight="1" thickBot="1" x14ac:dyDescent="0.3">
      <c r="A193" s="233" t="s">
        <v>27</v>
      </c>
      <c r="B193" s="229" t="s">
        <v>141</v>
      </c>
      <c r="C193" s="235"/>
      <c r="D193" s="235"/>
      <c r="E193" s="235"/>
      <c r="F193" s="235"/>
      <c r="G193" s="235"/>
      <c r="H193" s="235"/>
      <c r="I193" s="236"/>
      <c r="J193" s="229" t="s">
        <v>142</v>
      </c>
      <c r="K193" s="235"/>
      <c r="L193" s="235"/>
      <c r="M193" s="235"/>
      <c r="N193" s="235"/>
      <c r="O193" s="235"/>
      <c r="P193" s="235"/>
      <c r="Q193" s="236"/>
      <c r="R193" s="230" t="s">
        <v>143</v>
      </c>
      <c r="S193" s="231"/>
      <c r="T193" s="231"/>
      <c r="U193" s="231"/>
      <c r="V193" s="231"/>
      <c r="W193" s="231"/>
      <c r="X193" s="231"/>
      <c r="Y193" s="232"/>
      <c r="Z193" s="219" t="s">
        <v>82</v>
      </c>
      <c r="AA193" s="220"/>
      <c r="AB193" s="220"/>
      <c r="AC193" s="221"/>
      <c r="AD193" s="222" t="s">
        <v>84</v>
      </c>
      <c r="AE193" s="223"/>
      <c r="AF193" s="224" t="s">
        <v>87</v>
      </c>
    </row>
    <row r="194" spans="1:40" ht="27.75" customHeight="1" thickBot="1" x14ac:dyDescent="0.3">
      <c r="A194" s="234"/>
      <c r="B194" s="226" t="s">
        <v>3</v>
      </c>
      <c r="C194" s="227"/>
      <c r="D194" s="227"/>
      <c r="E194" s="228"/>
      <c r="F194" s="229" t="s">
        <v>4</v>
      </c>
      <c r="G194" s="227"/>
      <c r="H194" s="227"/>
      <c r="I194" s="228"/>
      <c r="J194" s="226" t="s">
        <v>3</v>
      </c>
      <c r="K194" s="227"/>
      <c r="L194" s="227"/>
      <c r="M194" s="228"/>
      <c r="N194" s="229" t="s">
        <v>4</v>
      </c>
      <c r="O194" s="227"/>
      <c r="P194" s="227"/>
      <c r="Q194" s="228"/>
      <c r="R194" s="230" t="s">
        <v>3</v>
      </c>
      <c r="S194" s="231"/>
      <c r="T194" s="231"/>
      <c r="U194" s="232"/>
      <c r="V194" s="230" t="s">
        <v>4</v>
      </c>
      <c r="W194" s="231"/>
      <c r="X194" s="231"/>
      <c r="Y194" s="232"/>
      <c r="Z194" s="216" t="s">
        <v>83</v>
      </c>
      <c r="AA194" s="217"/>
      <c r="AB194" s="216" t="s">
        <v>5</v>
      </c>
      <c r="AC194" s="218"/>
      <c r="AD194" s="80" t="s">
        <v>85</v>
      </c>
      <c r="AE194" s="80" t="s">
        <v>86</v>
      </c>
      <c r="AF194" s="225"/>
    </row>
    <row r="195" spans="1:40" ht="30.75" customHeight="1" x14ac:dyDescent="0.25">
      <c r="A195" s="102" t="s">
        <v>25</v>
      </c>
      <c r="B195" s="6">
        <f>B181*$C$166</f>
        <v>3.2300000000000004</v>
      </c>
      <c r="C195" s="7">
        <f t="shared" ref="C195:I195" si="150">C181*$C$166</f>
        <v>6.3</v>
      </c>
      <c r="D195" s="7">
        <f t="shared" si="150"/>
        <v>7.9050000000000002</v>
      </c>
      <c r="E195" s="8">
        <f t="shared" si="150"/>
        <v>10.327500000000001</v>
      </c>
      <c r="F195" s="6">
        <f t="shared" si="150"/>
        <v>4.1599999999999993</v>
      </c>
      <c r="G195" s="7">
        <f t="shared" si="150"/>
        <v>6.3</v>
      </c>
      <c r="H195" s="7">
        <f t="shared" si="150"/>
        <v>7.9050000000000002</v>
      </c>
      <c r="I195" s="100">
        <f t="shared" si="150"/>
        <v>9.5150000000000006</v>
      </c>
      <c r="J195" s="6">
        <f>J181*$C$167</f>
        <v>2.11</v>
      </c>
      <c r="K195" s="7">
        <f t="shared" ref="K195:Q195" si="151">K181*$C$167</f>
        <v>4.9450000000000003</v>
      </c>
      <c r="L195" s="7">
        <f t="shared" si="151"/>
        <v>7.59</v>
      </c>
      <c r="M195" s="8">
        <f t="shared" si="151"/>
        <v>10.607500000000002</v>
      </c>
      <c r="N195" s="6">
        <f t="shared" si="151"/>
        <v>2.8374999999999995</v>
      </c>
      <c r="O195" s="7">
        <f t="shared" si="151"/>
        <v>4.9450000000000003</v>
      </c>
      <c r="P195" s="7">
        <f t="shared" si="151"/>
        <v>7.59</v>
      </c>
      <c r="Q195" s="100">
        <f t="shared" si="151"/>
        <v>9.6150000000000002</v>
      </c>
      <c r="R195" s="106">
        <f>B195+J195</f>
        <v>5.34</v>
      </c>
      <c r="S195" s="56">
        <f t="shared" ref="S195:Y204" si="152">C195+K195</f>
        <v>11.245000000000001</v>
      </c>
      <c r="T195" s="56">
        <f t="shared" si="152"/>
        <v>15.495000000000001</v>
      </c>
      <c r="U195" s="107">
        <f t="shared" si="152"/>
        <v>20.935000000000002</v>
      </c>
      <c r="V195" s="106">
        <f t="shared" si="152"/>
        <v>6.9974999999999987</v>
      </c>
      <c r="W195" s="56">
        <f t="shared" si="152"/>
        <v>11.245000000000001</v>
      </c>
      <c r="X195" s="56">
        <f t="shared" si="152"/>
        <v>15.495000000000001</v>
      </c>
      <c r="Y195" s="107">
        <f t="shared" si="152"/>
        <v>19.130000000000003</v>
      </c>
      <c r="Z195" s="74">
        <f>Z$192*S195+(1-Z$192)*R195</f>
        <v>10.064</v>
      </c>
      <c r="AA195" s="189">
        <f>Z$192*T195+(1-Z$192)*U195</f>
        <v>16.582999999999998</v>
      </c>
      <c r="AB195" s="74">
        <f>Z$192*W195+(1-Z$192)*V195</f>
        <v>10.3955</v>
      </c>
      <c r="AC195" s="75">
        <f>Z$192*X195+(1-Z$192)*Y195</f>
        <v>16.222000000000001</v>
      </c>
      <c r="AD195" s="20">
        <f>(Z195+AA195)/2</f>
        <v>13.323499999999999</v>
      </c>
      <c r="AE195" s="23">
        <f>(AB195+AC195)/2</f>
        <v>13.30875</v>
      </c>
      <c r="AF195" s="71">
        <f>(AD195+AE195)/2</f>
        <v>13.316125</v>
      </c>
    </row>
    <row r="196" spans="1:40" x14ac:dyDescent="0.25">
      <c r="A196" s="98" t="s">
        <v>14</v>
      </c>
      <c r="B196" s="4">
        <f t="shared" ref="B196:I204" si="153">B182*$C$166</f>
        <v>0.57750000000000012</v>
      </c>
      <c r="C196" s="2">
        <f t="shared" si="153"/>
        <v>2.2275</v>
      </c>
      <c r="D196" s="2">
        <f t="shared" si="153"/>
        <v>4.5374999999999996</v>
      </c>
      <c r="E196" s="5">
        <f t="shared" si="153"/>
        <v>7.0125000000000002</v>
      </c>
      <c r="F196" s="4">
        <f t="shared" si="153"/>
        <v>0.90950000000000042</v>
      </c>
      <c r="G196" s="2">
        <f t="shared" si="153"/>
        <v>2.2275</v>
      </c>
      <c r="H196" s="2">
        <f t="shared" si="153"/>
        <v>4.5374999999999996</v>
      </c>
      <c r="I196" s="94">
        <f t="shared" si="153"/>
        <v>6.2150000000000016</v>
      </c>
      <c r="J196" s="4">
        <f t="shared" ref="J196:Q204" si="154">J182*$C$167</f>
        <v>0.57750000000000012</v>
      </c>
      <c r="K196" s="2">
        <f t="shared" si="154"/>
        <v>2.7775000000000003</v>
      </c>
      <c r="L196" s="2">
        <f t="shared" si="154"/>
        <v>5.6375000000000002</v>
      </c>
      <c r="M196" s="5">
        <f t="shared" si="154"/>
        <v>8.3875000000000011</v>
      </c>
      <c r="N196" s="4">
        <f t="shared" si="154"/>
        <v>0.98250000000000037</v>
      </c>
      <c r="O196" s="2">
        <f t="shared" si="154"/>
        <v>2.7775000000000003</v>
      </c>
      <c r="P196" s="2">
        <f t="shared" si="154"/>
        <v>5.6375000000000002</v>
      </c>
      <c r="Q196" s="94">
        <f t="shared" si="154"/>
        <v>7.5150000000000023</v>
      </c>
      <c r="R196" s="6">
        <f>B196+J196</f>
        <v>1.1550000000000002</v>
      </c>
      <c r="S196" s="7">
        <f t="shared" si="152"/>
        <v>5.0050000000000008</v>
      </c>
      <c r="T196" s="7">
        <f t="shared" si="152"/>
        <v>10.175000000000001</v>
      </c>
      <c r="U196" s="8">
        <f t="shared" si="152"/>
        <v>15.400000000000002</v>
      </c>
      <c r="V196" s="6">
        <f t="shared" si="152"/>
        <v>1.8920000000000008</v>
      </c>
      <c r="W196" s="7">
        <f t="shared" si="152"/>
        <v>5.0050000000000008</v>
      </c>
      <c r="X196" s="7">
        <f t="shared" si="152"/>
        <v>10.175000000000001</v>
      </c>
      <c r="Y196" s="8">
        <f t="shared" si="152"/>
        <v>13.730000000000004</v>
      </c>
      <c r="Z196" s="76">
        <f t="shared" ref="Z196:Z204" si="155">Z$192*S196+(1-Z$192)*R196</f>
        <v>4.2350000000000003</v>
      </c>
      <c r="AA196" s="190">
        <f t="shared" ref="AA196:AA204" si="156">Z$192*T196+(1-Z$192)*U196</f>
        <v>11.22</v>
      </c>
      <c r="AB196" s="76">
        <f t="shared" ref="AB196:AB204" si="157">Z$192*W196+(1-Z$192)*V196</f>
        <v>4.3824000000000005</v>
      </c>
      <c r="AC196" s="77">
        <f t="shared" ref="AC196:AC204" si="158">Z$192*X196+(1-Z$192)*Y196</f>
        <v>10.886000000000001</v>
      </c>
      <c r="AD196" s="26">
        <f t="shared" ref="AD196:AD204" si="159">(Z196+AA196)/2</f>
        <v>7.7275000000000009</v>
      </c>
      <c r="AE196" s="27">
        <f t="shared" ref="AE196:AE204" si="160">(AB196+AC196)/2</f>
        <v>7.6342000000000008</v>
      </c>
      <c r="AF196" s="72">
        <f t="shared" ref="AF196:AF204" si="161">(AD196+AE196)/2</f>
        <v>7.6808500000000013</v>
      </c>
    </row>
    <row r="197" spans="1:40" x14ac:dyDescent="0.25">
      <c r="A197" s="98" t="s">
        <v>15</v>
      </c>
      <c r="B197" s="4">
        <f t="shared" si="153"/>
        <v>2.0075000000000003</v>
      </c>
      <c r="C197" s="2">
        <f t="shared" si="153"/>
        <v>3.7125000000000004</v>
      </c>
      <c r="D197" s="2">
        <f t="shared" si="153"/>
        <v>6.3525000000000009</v>
      </c>
      <c r="E197" s="5">
        <f t="shared" si="153"/>
        <v>9.9824999999999999</v>
      </c>
      <c r="F197" s="4">
        <f t="shared" si="153"/>
        <v>2.54</v>
      </c>
      <c r="G197" s="2">
        <f t="shared" si="153"/>
        <v>3.7125000000000004</v>
      </c>
      <c r="H197" s="2">
        <f t="shared" si="153"/>
        <v>6.3525000000000009</v>
      </c>
      <c r="I197" s="94">
        <f t="shared" si="153"/>
        <v>8.7449999999999992</v>
      </c>
      <c r="J197" s="4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5">
        <f t="shared" si="154"/>
        <v>12.655000000000001</v>
      </c>
      <c r="N197" s="4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94">
        <f t="shared" si="154"/>
        <v>11.48</v>
      </c>
      <c r="R197" s="6">
        <f t="shared" ref="R197:R204" si="162">B197+J197</f>
        <v>5.6575000000000006</v>
      </c>
      <c r="S197" s="7">
        <f t="shared" si="152"/>
        <v>10.375</v>
      </c>
      <c r="T197" s="7">
        <f t="shared" si="152"/>
        <v>15.55</v>
      </c>
      <c r="U197" s="8">
        <f t="shared" si="152"/>
        <v>22.637500000000003</v>
      </c>
      <c r="V197" s="6">
        <f t="shared" si="152"/>
        <v>7.0974999999999993</v>
      </c>
      <c r="W197" s="7">
        <f t="shared" si="152"/>
        <v>10.375</v>
      </c>
      <c r="X197" s="7">
        <f t="shared" si="152"/>
        <v>15.55</v>
      </c>
      <c r="Y197" s="8">
        <f t="shared" si="152"/>
        <v>20.225000000000001</v>
      </c>
      <c r="Z197" s="76">
        <f t="shared" si="155"/>
        <v>9.4314999999999998</v>
      </c>
      <c r="AA197" s="190">
        <f t="shared" si="156"/>
        <v>16.967500000000001</v>
      </c>
      <c r="AB197" s="76">
        <f t="shared" si="157"/>
        <v>9.7195</v>
      </c>
      <c r="AC197" s="77">
        <f t="shared" si="158"/>
        <v>16.484999999999999</v>
      </c>
      <c r="AD197" s="26">
        <f t="shared" si="159"/>
        <v>13.1995</v>
      </c>
      <c r="AE197" s="27">
        <f t="shared" si="160"/>
        <v>13.10225</v>
      </c>
      <c r="AF197" s="72">
        <f t="shared" si="161"/>
        <v>13.150874999999999</v>
      </c>
    </row>
    <row r="198" spans="1:40" x14ac:dyDescent="0.25">
      <c r="A198" s="98" t="s">
        <v>16</v>
      </c>
      <c r="B198" s="4">
        <f t="shared" si="153"/>
        <v>2.8250000000000006</v>
      </c>
      <c r="C198" s="2">
        <f t="shared" si="153"/>
        <v>5.2874999999999996</v>
      </c>
      <c r="D198" s="2">
        <f t="shared" si="153"/>
        <v>7.2725000000000009</v>
      </c>
      <c r="E198" s="5">
        <f t="shared" si="153"/>
        <v>10.154999999999999</v>
      </c>
      <c r="F198" s="4">
        <f t="shared" si="153"/>
        <v>3.5750000000000002</v>
      </c>
      <c r="G198" s="2">
        <f t="shared" si="153"/>
        <v>5.2874999999999996</v>
      </c>
      <c r="H198" s="2">
        <f t="shared" si="153"/>
        <v>7.2725000000000009</v>
      </c>
      <c r="I198" s="94">
        <f t="shared" si="153"/>
        <v>9.18</v>
      </c>
      <c r="J198" s="4">
        <f t="shared" si="154"/>
        <v>3.0725000000000002</v>
      </c>
      <c r="K198" s="2">
        <f t="shared" si="154"/>
        <v>5.9200000000000008</v>
      </c>
      <c r="L198" s="2">
        <f t="shared" si="154"/>
        <v>8.2899999999999991</v>
      </c>
      <c r="M198" s="5">
        <f t="shared" si="154"/>
        <v>11.170000000000002</v>
      </c>
      <c r="N198" s="4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94">
        <f t="shared" si="154"/>
        <v>10.215</v>
      </c>
      <c r="R198" s="6">
        <f t="shared" si="162"/>
        <v>5.8975000000000009</v>
      </c>
      <c r="S198" s="7">
        <f t="shared" si="152"/>
        <v>11.2075</v>
      </c>
      <c r="T198" s="7">
        <f t="shared" si="152"/>
        <v>15.5625</v>
      </c>
      <c r="U198" s="8">
        <f t="shared" si="152"/>
        <v>21.325000000000003</v>
      </c>
      <c r="V198" s="6">
        <f t="shared" si="152"/>
        <v>7.3749999999999991</v>
      </c>
      <c r="W198" s="7">
        <f t="shared" si="152"/>
        <v>11.2075</v>
      </c>
      <c r="X198" s="7">
        <f t="shared" si="152"/>
        <v>15.5625</v>
      </c>
      <c r="Y198" s="8">
        <f t="shared" si="152"/>
        <v>19.395</v>
      </c>
      <c r="Z198" s="76">
        <f t="shared" si="155"/>
        <v>10.145499999999998</v>
      </c>
      <c r="AA198" s="190">
        <f t="shared" si="156"/>
        <v>16.715</v>
      </c>
      <c r="AB198" s="76">
        <f t="shared" si="157"/>
        <v>10.440999999999999</v>
      </c>
      <c r="AC198" s="77">
        <f t="shared" si="158"/>
        <v>16.329000000000001</v>
      </c>
      <c r="AD198" s="26">
        <f t="shared" si="159"/>
        <v>13.430249999999999</v>
      </c>
      <c r="AE198" s="27">
        <f t="shared" si="160"/>
        <v>13.385</v>
      </c>
      <c r="AF198" s="72">
        <f t="shared" si="161"/>
        <v>13.407624999999999</v>
      </c>
    </row>
    <row r="199" spans="1:40" x14ac:dyDescent="0.25">
      <c r="A199" s="98" t="s">
        <v>18</v>
      </c>
      <c r="B199" s="4">
        <f t="shared" si="153"/>
        <v>2.2250000000000001</v>
      </c>
      <c r="C199" s="2">
        <f t="shared" si="153"/>
        <v>4.1625000000000005</v>
      </c>
      <c r="D199" s="2">
        <f t="shared" si="153"/>
        <v>6.6974999999999998</v>
      </c>
      <c r="E199" s="5">
        <f t="shared" si="153"/>
        <v>10.155000000000001</v>
      </c>
      <c r="F199" s="4">
        <f t="shared" si="153"/>
        <v>2.8325000000000005</v>
      </c>
      <c r="G199" s="2">
        <f t="shared" si="153"/>
        <v>4.1625000000000005</v>
      </c>
      <c r="H199" s="2">
        <f t="shared" si="153"/>
        <v>6.6974999999999998</v>
      </c>
      <c r="I199" s="94">
        <f t="shared" si="153"/>
        <v>8.98</v>
      </c>
      <c r="J199" s="4">
        <f t="shared" si="154"/>
        <v>3.6500000000000004</v>
      </c>
      <c r="K199" s="2">
        <f t="shared" si="154"/>
        <v>6.6625000000000005</v>
      </c>
      <c r="L199" s="2">
        <f t="shared" si="154"/>
        <v>9.1974999999999998</v>
      </c>
      <c r="M199" s="5">
        <f t="shared" si="154"/>
        <v>12.655000000000001</v>
      </c>
      <c r="N199" s="4">
        <f t="shared" si="154"/>
        <v>4.5574999999999992</v>
      </c>
      <c r="O199" s="2">
        <f t="shared" si="154"/>
        <v>6.6625000000000005</v>
      </c>
      <c r="P199" s="2">
        <f t="shared" si="154"/>
        <v>9.1974999999999998</v>
      </c>
      <c r="Q199" s="94">
        <f t="shared" si="154"/>
        <v>11.48</v>
      </c>
      <c r="R199" s="6">
        <f t="shared" si="162"/>
        <v>5.875</v>
      </c>
      <c r="S199" s="7">
        <f t="shared" si="152"/>
        <v>10.825000000000001</v>
      </c>
      <c r="T199" s="7">
        <f t="shared" si="152"/>
        <v>15.895</v>
      </c>
      <c r="U199" s="8">
        <f t="shared" si="152"/>
        <v>22.810000000000002</v>
      </c>
      <c r="V199" s="6">
        <f t="shared" si="152"/>
        <v>7.39</v>
      </c>
      <c r="W199" s="7">
        <f t="shared" si="152"/>
        <v>10.825000000000001</v>
      </c>
      <c r="X199" s="7">
        <f t="shared" si="152"/>
        <v>15.895</v>
      </c>
      <c r="Y199" s="8">
        <f t="shared" si="152"/>
        <v>20.46</v>
      </c>
      <c r="Z199" s="76">
        <f t="shared" si="155"/>
        <v>9.8350000000000009</v>
      </c>
      <c r="AA199" s="190">
        <f t="shared" si="156"/>
        <v>17.277999999999999</v>
      </c>
      <c r="AB199" s="76">
        <f t="shared" si="157"/>
        <v>10.138000000000002</v>
      </c>
      <c r="AC199" s="77">
        <f t="shared" si="158"/>
        <v>16.808</v>
      </c>
      <c r="AD199" s="26">
        <f t="shared" si="159"/>
        <v>13.5565</v>
      </c>
      <c r="AE199" s="27">
        <f t="shared" si="160"/>
        <v>13.473000000000001</v>
      </c>
      <c r="AF199" s="72">
        <f t="shared" si="161"/>
        <v>13.514749999999999</v>
      </c>
    </row>
    <row r="200" spans="1:40" x14ac:dyDescent="0.25">
      <c r="A200" s="98" t="s">
        <v>19</v>
      </c>
      <c r="B200" s="4">
        <f t="shared" si="153"/>
        <v>2.2475000000000005</v>
      </c>
      <c r="C200" s="2">
        <f t="shared" si="153"/>
        <v>4.5449999999999999</v>
      </c>
      <c r="D200" s="2">
        <f t="shared" si="153"/>
        <v>6.3650000000000002</v>
      </c>
      <c r="E200" s="5">
        <f t="shared" si="153"/>
        <v>8.67</v>
      </c>
      <c r="F200" s="4">
        <f t="shared" si="153"/>
        <v>2.8174999999999994</v>
      </c>
      <c r="G200" s="2">
        <f t="shared" si="153"/>
        <v>4.5449999999999999</v>
      </c>
      <c r="H200" s="2">
        <f t="shared" si="153"/>
        <v>6.3650000000000002</v>
      </c>
      <c r="I200" s="94">
        <f t="shared" si="153"/>
        <v>7.915</v>
      </c>
      <c r="J200" s="4">
        <f t="shared" si="154"/>
        <v>3.0725000000000002</v>
      </c>
      <c r="K200" s="2">
        <f t="shared" si="154"/>
        <v>5.9200000000000008</v>
      </c>
      <c r="L200" s="2">
        <f t="shared" si="154"/>
        <v>8.2899999999999991</v>
      </c>
      <c r="M200" s="5">
        <f t="shared" si="154"/>
        <v>11.170000000000002</v>
      </c>
      <c r="N200" s="4">
        <f t="shared" si="154"/>
        <v>3.7999999999999989</v>
      </c>
      <c r="O200" s="2">
        <f t="shared" si="154"/>
        <v>5.9200000000000008</v>
      </c>
      <c r="P200" s="2">
        <f t="shared" si="154"/>
        <v>8.2899999999999991</v>
      </c>
      <c r="Q200" s="94">
        <f t="shared" si="154"/>
        <v>10.215</v>
      </c>
      <c r="R200" s="6">
        <f t="shared" si="162"/>
        <v>5.32</v>
      </c>
      <c r="S200" s="7">
        <f t="shared" si="152"/>
        <v>10.465</v>
      </c>
      <c r="T200" s="7">
        <f t="shared" si="152"/>
        <v>14.654999999999999</v>
      </c>
      <c r="U200" s="8">
        <f t="shared" si="152"/>
        <v>19.840000000000003</v>
      </c>
      <c r="V200" s="6">
        <f t="shared" si="152"/>
        <v>6.6174999999999979</v>
      </c>
      <c r="W200" s="7">
        <f t="shared" si="152"/>
        <v>10.465</v>
      </c>
      <c r="X200" s="7">
        <f t="shared" si="152"/>
        <v>14.654999999999999</v>
      </c>
      <c r="Y200" s="8">
        <f t="shared" si="152"/>
        <v>18.13</v>
      </c>
      <c r="Z200" s="76">
        <f t="shared" si="155"/>
        <v>9.4359999999999999</v>
      </c>
      <c r="AA200" s="190">
        <f t="shared" si="156"/>
        <v>15.692</v>
      </c>
      <c r="AB200" s="76">
        <f t="shared" si="157"/>
        <v>9.6954999999999991</v>
      </c>
      <c r="AC200" s="77">
        <f t="shared" si="158"/>
        <v>15.35</v>
      </c>
      <c r="AD200" s="26">
        <f t="shared" si="159"/>
        <v>12.564</v>
      </c>
      <c r="AE200" s="27">
        <f t="shared" si="160"/>
        <v>12.522749999999998</v>
      </c>
      <c r="AF200" s="72">
        <f t="shared" si="161"/>
        <v>12.543374999999999</v>
      </c>
    </row>
    <row r="201" spans="1:40" x14ac:dyDescent="0.25">
      <c r="A201" s="98" t="s">
        <v>20</v>
      </c>
      <c r="B201" s="4">
        <f t="shared" si="153"/>
        <v>2.2475000000000005</v>
      </c>
      <c r="C201" s="2">
        <f t="shared" si="153"/>
        <v>4.5449999999999999</v>
      </c>
      <c r="D201" s="2">
        <f t="shared" si="153"/>
        <v>6.3650000000000002</v>
      </c>
      <c r="E201" s="5">
        <f t="shared" si="153"/>
        <v>8.67</v>
      </c>
      <c r="F201" s="4">
        <f t="shared" si="153"/>
        <v>2.8174999999999994</v>
      </c>
      <c r="G201" s="2">
        <f t="shared" si="153"/>
        <v>4.5449999999999999</v>
      </c>
      <c r="H201" s="2">
        <f t="shared" si="153"/>
        <v>6.3650000000000002</v>
      </c>
      <c r="I201" s="94">
        <f t="shared" si="153"/>
        <v>7.915</v>
      </c>
      <c r="J201" s="4">
        <f t="shared" si="154"/>
        <v>3.0725000000000002</v>
      </c>
      <c r="K201" s="2">
        <f t="shared" si="154"/>
        <v>5.9200000000000008</v>
      </c>
      <c r="L201" s="2">
        <f t="shared" si="154"/>
        <v>8.2899999999999991</v>
      </c>
      <c r="M201" s="5">
        <f t="shared" si="154"/>
        <v>11.170000000000002</v>
      </c>
      <c r="N201" s="4">
        <f t="shared" si="154"/>
        <v>3.7999999999999989</v>
      </c>
      <c r="O201" s="2">
        <f t="shared" si="154"/>
        <v>5.9200000000000008</v>
      </c>
      <c r="P201" s="2">
        <f t="shared" si="154"/>
        <v>8.2899999999999991</v>
      </c>
      <c r="Q201" s="94">
        <f t="shared" si="154"/>
        <v>10.215</v>
      </c>
      <c r="R201" s="6">
        <f t="shared" si="162"/>
        <v>5.32</v>
      </c>
      <c r="S201" s="7">
        <f t="shared" si="152"/>
        <v>10.465</v>
      </c>
      <c r="T201" s="7">
        <f t="shared" si="152"/>
        <v>14.654999999999999</v>
      </c>
      <c r="U201" s="8">
        <f t="shared" si="152"/>
        <v>19.840000000000003</v>
      </c>
      <c r="V201" s="6">
        <f t="shared" si="152"/>
        <v>6.6174999999999979</v>
      </c>
      <c r="W201" s="7">
        <f t="shared" si="152"/>
        <v>10.465</v>
      </c>
      <c r="X201" s="7">
        <f t="shared" si="152"/>
        <v>14.654999999999999</v>
      </c>
      <c r="Y201" s="8">
        <f t="shared" si="152"/>
        <v>18.13</v>
      </c>
      <c r="Z201" s="76">
        <f t="shared" si="155"/>
        <v>9.4359999999999999</v>
      </c>
      <c r="AA201" s="190">
        <f t="shared" si="156"/>
        <v>15.692</v>
      </c>
      <c r="AB201" s="76">
        <f t="shared" si="157"/>
        <v>9.6954999999999991</v>
      </c>
      <c r="AC201" s="77">
        <f t="shared" si="158"/>
        <v>15.35</v>
      </c>
      <c r="AD201" s="26">
        <f t="shared" si="159"/>
        <v>12.564</v>
      </c>
      <c r="AE201" s="27">
        <f t="shared" si="160"/>
        <v>12.522749999999998</v>
      </c>
      <c r="AF201" s="72">
        <f t="shared" si="161"/>
        <v>12.543374999999999</v>
      </c>
    </row>
    <row r="202" spans="1:40" x14ac:dyDescent="0.25">
      <c r="A202" s="98" t="s">
        <v>21</v>
      </c>
      <c r="B202" s="4">
        <f t="shared" si="153"/>
        <v>2.63</v>
      </c>
      <c r="C202" s="2">
        <f t="shared" si="153"/>
        <v>5.1750000000000007</v>
      </c>
      <c r="D202" s="2">
        <f t="shared" si="153"/>
        <v>7.33</v>
      </c>
      <c r="E202" s="5">
        <f t="shared" si="153"/>
        <v>10.327500000000001</v>
      </c>
      <c r="F202" s="4">
        <f t="shared" si="153"/>
        <v>3.4174999999999995</v>
      </c>
      <c r="G202" s="2">
        <f t="shared" si="153"/>
        <v>5.1750000000000007</v>
      </c>
      <c r="H202" s="2">
        <f t="shared" si="153"/>
        <v>7.33</v>
      </c>
      <c r="I202" s="94">
        <f t="shared" si="153"/>
        <v>9.3149999999999995</v>
      </c>
      <c r="J202" s="4">
        <f t="shared" si="154"/>
        <v>2.11</v>
      </c>
      <c r="K202" s="2">
        <f t="shared" si="154"/>
        <v>4.9450000000000003</v>
      </c>
      <c r="L202" s="2">
        <f t="shared" si="154"/>
        <v>7.59</v>
      </c>
      <c r="M202" s="5">
        <f t="shared" si="154"/>
        <v>10.607500000000002</v>
      </c>
      <c r="N202" s="4">
        <f t="shared" si="154"/>
        <v>2.8374999999999995</v>
      </c>
      <c r="O202" s="2">
        <f t="shared" si="154"/>
        <v>4.9450000000000003</v>
      </c>
      <c r="P202" s="2">
        <f t="shared" si="154"/>
        <v>7.59</v>
      </c>
      <c r="Q202" s="94">
        <f t="shared" si="154"/>
        <v>9.6150000000000002</v>
      </c>
      <c r="R202" s="6">
        <f t="shared" si="162"/>
        <v>4.74</v>
      </c>
      <c r="S202" s="7">
        <f t="shared" si="152"/>
        <v>10.120000000000001</v>
      </c>
      <c r="T202" s="7">
        <f t="shared" si="152"/>
        <v>14.92</v>
      </c>
      <c r="U202" s="8">
        <f t="shared" si="152"/>
        <v>20.935000000000002</v>
      </c>
      <c r="V202" s="6">
        <f t="shared" si="152"/>
        <v>6.254999999999999</v>
      </c>
      <c r="W202" s="7">
        <f t="shared" si="152"/>
        <v>10.120000000000001</v>
      </c>
      <c r="X202" s="7">
        <f t="shared" si="152"/>
        <v>14.92</v>
      </c>
      <c r="Y202" s="8">
        <f t="shared" si="152"/>
        <v>18.93</v>
      </c>
      <c r="Z202" s="76">
        <f t="shared" si="155"/>
        <v>9.0440000000000023</v>
      </c>
      <c r="AA202" s="190">
        <f t="shared" si="156"/>
        <v>16.122999999999998</v>
      </c>
      <c r="AB202" s="76">
        <f t="shared" si="157"/>
        <v>9.3470000000000013</v>
      </c>
      <c r="AC202" s="77">
        <f t="shared" si="158"/>
        <v>15.722</v>
      </c>
      <c r="AD202" s="26">
        <f t="shared" si="159"/>
        <v>12.583500000000001</v>
      </c>
      <c r="AE202" s="27">
        <f t="shared" si="160"/>
        <v>12.534500000000001</v>
      </c>
      <c r="AF202" s="72">
        <f t="shared" si="161"/>
        <v>12.559000000000001</v>
      </c>
    </row>
    <row r="203" spans="1:40" x14ac:dyDescent="0.25">
      <c r="A203" s="98" t="s">
        <v>23</v>
      </c>
      <c r="B203" s="4">
        <f t="shared" si="153"/>
        <v>2.2250000000000001</v>
      </c>
      <c r="C203" s="2">
        <f t="shared" si="153"/>
        <v>4.1625000000000005</v>
      </c>
      <c r="D203" s="2">
        <f t="shared" si="153"/>
        <v>6.6974999999999998</v>
      </c>
      <c r="E203" s="5">
        <f t="shared" si="153"/>
        <v>10.155000000000001</v>
      </c>
      <c r="F203" s="4">
        <f t="shared" si="153"/>
        <v>2.8325000000000005</v>
      </c>
      <c r="G203" s="2">
        <f t="shared" si="153"/>
        <v>4.1625000000000005</v>
      </c>
      <c r="H203" s="2">
        <f t="shared" si="153"/>
        <v>6.6974999999999998</v>
      </c>
      <c r="I203" s="94">
        <f t="shared" si="153"/>
        <v>8.98</v>
      </c>
      <c r="J203" s="4">
        <f t="shared" si="154"/>
        <v>2.5225000000000004</v>
      </c>
      <c r="K203" s="2">
        <f t="shared" si="154"/>
        <v>5.5075000000000003</v>
      </c>
      <c r="L203" s="2">
        <f t="shared" si="154"/>
        <v>7.8774999999999995</v>
      </c>
      <c r="M203" s="5">
        <f t="shared" si="154"/>
        <v>10.6075</v>
      </c>
      <c r="N203" s="4">
        <f t="shared" si="154"/>
        <v>3.2874999999999996</v>
      </c>
      <c r="O203" s="2">
        <f t="shared" si="154"/>
        <v>5.5075000000000003</v>
      </c>
      <c r="P203" s="2">
        <f t="shared" si="154"/>
        <v>7.8774999999999995</v>
      </c>
      <c r="Q203" s="94">
        <f t="shared" si="154"/>
        <v>9.7150000000000016</v>
      </c>
      <c r="R203" s="6">
        <f t="shared" si="162"/>
        <v>4.7475000000000005</v>
      </c>
      <c r="S203" s="7">
        <f t="shared" si="152"/>
        <v>9.6700000000000017</v>
      </c>
      <c r="T203" s="7">
        <f t="shared" si="152"/>
        <v>14.574999999999999</v>
      </c>
      <c r="U203" s="8">
        <f t="shared" si="152"/>
        <v>20.762500000000003</v>
      </c>
      <c r="V203" s="6">
        <f t="shared" si="152"/>
        <v>6.12</v>
      </c>
      <c r="W203" s="7">
        <f t="shared" si="152"/>
        <v>9.6700000000000017</v>
      </c>
      <c r="X203" s="7">
        <f t="shared" si="152"/>
        <v>14.574999999999999</v>
      </c>
      <c r="Y203" s="8">
        <f t="shared" si="152"/>
        <v>18.695</v>
      </c>
      <c r="Z203" s="76">
        <f t="shared" si="155"/>
        <v>8.6855000000000011</v>
      </c>
      <c r="AA203" s="190">
        <f t="shared" si="156"/>
        <v>15.8125</v>
      </c>
      <c r="AB203" s="76">
        <f t="shared" si="157"/>
        <v>8.9600000000000009</v>
      </c>
      <c r="AC203" s="77">
        <f t="shared" si="158"/>
        <v>15.398999999999999</v>
      </c>
      <c r="AD203" s="26">
        <f t="shared" si="159"/>
        <v>12.249000000000001</v>
      </c>
      <c r="AE203" s="27">
        <f t="shared" si="160"/>
        <v>12.179500000000001</v>
      </c>
      <c r="AF203" s="72">
        <f t="shared" si="161"/>
        <v>12.21425</v>
      </c>
    </row>
    <row r="204" spans="1:40" ht="15.75" thickBot="1" x14ac:dyDescent="0.3">
      <c r="A204" s="99" t="s">
        <v>24</v>
      </c>
      <c r="B204" s="95">
        <f t="shared" si="153"/>
        <v>1.0975000000000001</v>
      </c>
      <c r="C204" s="58">
        <f t="shared" si="153"/>
        <v>3.0075000000000003</v>
      </c>
      <c r="D204" s="58">
        <f t="shared" si="153"/>
        <v>5.3774999999999995</v>
      </c>
      <c r="E204" s="62">
        <f t="shared" si="153"/>
        <v>8.1074999999999999</v>
      </c>
      <c r="F204" s="95">
        <f t="shared" si="153"/>
        <v>1.5625000000000004</v>
      </c>
      <c r="G204" s="58">
        <f t="shared" si="153"/>
        <v>3.0075000000000003</v>
      </c>
      <c r="H204" s="58">
        <f t="shared" si="153"/>
        <v>5.3774999999999995</v>
      </c>
      <c r="I204" s="101">
        <f t="shared" si="153"/>
        <v>7.2150000000000016</v>
      </c>
      <c r="J204" s="95">
        <f t="shared" si="154"/>
        <v>2.5225000000000004</v>
      </c>
      <c r="K204" s="58">
        <f t="shared" si="154"/>
        <v>5.5075000000000003</v>
      </c>
      <c r="L204" s="58">
        <f t="shared" si="154"/>
        <v>7.8774999999999995</v>
      </c>
      <c r="M204" s="62">
        <f t="shared" si="154"/>
        <v>10.6075</v>
      </c>
      <c r="N204" s="95">
        <f t="shared" si="154"/>
        <v>3.2874999999999996</v>
      </c>
      <c r="O204" s="58">
        <f t="shared" si="154"/>
        <v>5.5075000000000003</v>
      </c>
      <c r="P204" s="58">
        <f t="shared" si="154"/>
        <v>7.8774999999999995</v>
      </c>
      <c r="Q204" s="101">
        <f t="shared" si="154"/>
        <v>9.7150000000000016</v>
      </c>
      <c r="R204" s="108">
        <f t="shared" si="162"/>
        <v>3.6200000000000006</v>
      </c>
      <c r="S204" s="109">
        <f t="shared" si="152"/>
        <v>8.5150000000000006</v>
      </c>
      <c r="T204" s="109">
        <f t="shared" si="152"/>
        <v>13.254999999999999</v>
      </c>
      <c r="U204" s="110">
        <f t="shared" si="152"/>
        <v>18.715</v>
      </c>
      <c r="V204" s="108">
        <f t="shared" si="152"/>
        <v>4.8499999999999996</v>
      </c>
      <c r="W204" s="109">
        <f t="shared" si="152"/>
        <v>8.5150000000000006</v>
      </c>
      <c r="X204" s="109">
        <f t="shared" si="152"/>
        <v>13.254999999999999</v>
      </c>
      <c r="Y204" s="110">
        <f t="shared" si="152"/>
        <v>16.930000000000003</v>
      </c>
      <c r="Z204" s="78">
        <f t="shared" si="155"/>
        <v>7.5360000000000014</v>
      </c>
      <c r="AA204" s="191">
        <f t="shared" si="156"/>
        <v>14.346999999999998</v>
      </c>
      <c r="AB204" s="78">
        <f t="shared" si="157"/>
        <v>7.7820000000000009</v>
      </c>
      <c r="AC204" s="79">
        <f t="shared" si="158"/>
        <v>13.989999999999998</v>
      </c>
      <c r="AD204" s="30">
        <f t="shared" si="159"/>
        <v>10.9415</v>
      </c>
      <c r="AE204" s="33">
        <f t="shared" si="160"/>
        <v>10.885999999999999</v>
      </c>
      <c r="AF204" s="73">
        <f t="shared" si="161"/>
        <v>10.91375</v>
      </c>
    </row>
    <row r="206" spans="1:40" ht="15.75" thickBot="1" x14ac:dyDescent="0.3">
      <c r="A206" t="s">
        <v>144</v>
      </c>
      <c r="AH206">
        <v>0.8</v>
      </c>
    </row>
    <row r="207" spans="1:40" ht="15.75" thickBot="1" x14ac:dyDescent="0.3">
      <c r="A207" s="233" t="s">
        <v>27</v>
      </c>
      <c r="B207" s="229" t="s">
        <v>141</v>
      </c>
      <c r="C207" s="235"/>
      <c r="D207" s="235"/>
      <c r="E207" s="235"/>
      <c r="F207" s="235"/>
      <c r="G207" s="235"/>
      <c r="H207" s="235"/>
      <c r="I207" s="236"/>
      <c r="J207" s="229" t="s">
        <v>142</v>
      </c>
      <c r="K207" s="235"/>
      <c r="L207" s="235"/>
      <c r="M207" s="235"/>
      <c r="N207" s="235"/>
      <c r="O207" s="235"/>
      <c r="P207" s="235"/>
      <c r="Q207" s="236"/>
      <c r="R207" s="229" t="s">
        <v>145</v>
      </c>
      <c r="S207" s="235"/>
      <c r="T207" s="235"/>
      <c r="U207" s="235"/>
      <c r="V207" s="235"/>
      <c r="W207" s="235"/>
      <c r="X207" s="235"/>
      <c r="Y207" s="236"/>
      <c r="Z207" s="230" t="s">
        <v>143</v>
      </c>
      <c r="AA207" s="231"/>
      <c r="AB207" s="231"/>
      <c r="AC207" s="231"/>
      <c r="AD207" s="231"/>
      <c r="AE207" s="231"/>
      <c r="AF207" s="231"/>
      <c r="AG207" s="232"/>
      <c r="AH207" s="219" t="s">
        <v>82</v>
      </c>
      <c r="AI207" s="220"/>
      <c r="AJ207" s="220"/>
      <c r="AK207" s="221"/>
      <c r="AL207" s="222" t="s">
        <v>84</v>
      </c>
      <c r="AM207" s="223"/>
      <c r="AN207" s="224" t="s">
        <v>87</v>
      </c>
    </row>
    <row r="208" spans="1:40" ht="31.5" customHeight="1" thickBot="1" x14ac:dyDescent="0.3">
      <c r="A208" s="234"/>
      <c r="B208" s="226" t="s">
        <v>3</v>
      </c>
      <c r="C208" s="227"/>
      <c r="D208" s="227"/>
      <c r="E208" s="228"/>
      <c r="F208" s="229" t="s">
        <v>4</v>
      </c>
      <c r="G208" s="227"/>
      <c r="H208" s="227"/>
      <c r="I208" s="228"/>
      <c r="J208" s="226" t="s">
        <v>3</v>
      </c>
      <c r="K208" s="227"/>
      <c r="L208" s="227"/>
      <c r="M208" s="228"/>
      <c r="N208" s="229" t="s">
        <v>4</v>
      </c>
      <c r="O208" s="227"/>
      <c r="P208" s="227"/>
      <c r="Q208" s="228"/>
      <c r="R208" s="226" t="s">
        <v>3</v>
      </c>
      <c r="S208" s="227"/>
      <c r="T208" s="227"/>
      <c r="U208" s="228"/>
      <c r="V208" s="229" t="s">
        <v>4</v>
      </c>
      <c r="W208" s="227"/>
      <c r="X208" s="227"/>
      <c r="Y208" s="228"/>
      <c r="Z208" s="230" t="s">
        <v>3</v>
      </c>
      <c r="AA208" s="231"/>
      <c r="AB208" s="231"/>
      <c r="AC208" s="232"/>
      <c r="AD208" s="230" t="s">
        <v>4</v>
      </c>
      <c r="AE208" s="231"/>
      <c r="AF208" s="231"/>
      <c r="AG208" s="232"/>
      <c r="AH208" s="216" t="s">
        <v>83</v>
      </c>
      <c r="AI208" s="217"/>
      <c r="AJ208" s="216" t="s">
        <v>5</v>
      </c>
      <c r="AK208" s="218"/>
      <c r="AL208" s="80" t="s">
        <v>85</v>
      </c>
      <c r="AM208" s="80" t="s">
        <v>86</v>
      </c>
      <c r="AN208" s="225"/>
    </row>
    <row r="209" spans="1:40" x14ac:dyDescent="0.25">
      <c r="A209" s="102" t="s">
        <v>25</v>
      </c>
      <c r="B209" s="6">
        <f>B181*$C$173</f>
        <v>1.9380000000000002</v>
      </c>
      <c r="C209" s="7">
        <f t="shared" ref="C209:I209" si="163">C181*$C$173</f>
        <v>3.78</v>
      </c>
      <c r="D209" s="7">
        <f t="shared" si="163"/>
        <v>4.7430000000000003</v>
      </c>
      <c r="E209" s="8">
        <f t="shared" si="163"/>
        <v>6.1965000000000003</v>
      </c>
      <c r="F209" s="6">
        <f t="shared" si="163"/>
        <v>2.4959999999999996</v>
      </c>
      <c r="G209" s="7">
        <f t="shared" si="163"/>
        <v>3.78</v>
      </c>
      <c r="H209" s="7">
        <f t="shared" si="163"/>
        <v>4.7430000000000003</v>
      </c>
      <c r="I209" s="100">
        <f t="shared" si="163"/>
        <v>5.7090000000000005</v>
      </c>
      <c r="J209" s="6">
        <f>J181*$C$174</f>
        <v>1.2659999999999998</v>
      </c>
      <c r="K209" s="7">
        <f t="shared" ref="K209:Q209" si="164">K181*$C$174</f>
        <v>2.9670000000000001</v>
      </c>
      <c r="L209" s="7">
        <f t="shared" si="164"/>
        <v>4.5539999999999994</v>
      </c>
      <c r="M209" s="8">
        <f t="shared" si="164"/>
        <v>6.3645000000000005</v>
      </c>
      <c r="N209" s="6">
        <f t="shared" si="164"/>
        <v>1.7024999999999997</v>
      </c>
      <c r="O209" s="7">
        <f t="shared" si="164"/>
        <v>2.9670000000000001</v>
      </c>
      <c r="P209" s="7">
        <f t="shared" si="164"/>
        <v>4.5539999999999994</v>
      </c>
      <c r="Q209" s="100">
        <f t="shared" si="164"/>
        <v>5.7690000000000001</v>
      </c>
      <c r="R209" s="106">
        <f>R181*$C$175</f>
        <v>2.0180000000000002</v>
      </c>
      <c r="S209" s="106">
        <f t="shared" ref="S209:Y209" si="165">S181*$C$175</f>
        <v>3.9659999999999997</v>
      </c>
      <c r="T209" s="106">
        <f t="shared" si="165"/>
        <v>5.4220000000000006</v>
      </c>
      <c r="U209" s="106">
        <f t="shared" si="165"/>
        <v>7.3860000000000001</v>
      </c>
      <c r="V209" s="106">
        <f t="shared" si="165"/>
        <v>2.5716000000000001</v>
      </c>
      <c r="W209" s="106">
        <f t="shared" si="165"/>
        <v>3.9659999999999997</v>
      </c>
      <c r="X209" s="106">
        <f t="shared" si="165"/>
        <v>5.4220000000000006</v>
      </c>
      <c r="Y209" s="121">
        <f t="shared" si="165"/>
        <v>6.7320000000000011</v>
      </c>
      <c r="Z209" s="6">
        <f>B209+J209+R209</f>
        <v>5.2219999999999995</v>
      </c>
      <c r="AA209" s="7">
        <f t="shared" ref="AA209:AG218" si="166">C209+K209+S209</f>
        <v>10.712999999999999</v>
      </c>
      <c r="AB209" s="7">
        <f t="shared" si="166"/>
        <v>14.719000000000001</v>
      </c>
      <c r="AC209" s="8">
        <f t="shared" si="166"/>
        <v>19.946999999999999</v>
      </c>
      <c r="AD209" s="6">
        <f t="shared" si="166"/>
        <v>6.7700999999999993</v>
      </c>
      <c r="AE209" s="7">
        <f t="shared" si="166"/>
        <v>10.712999999999999</v>
      </c>
      <c r="AF209" s="7">
        <f t="shared" si="166"/>
        <v>14.719000000000001</v>
      </c>
      <c r="AG209" s="100">
        <f t="shared" si="166"/>
        <v>18.21</v>
      </c>
      <c r="AH209" s="20">
        <f>AH$206*AA209+(1-AH$206)*Z209</f>
        <v>9.6147999999999989</v>
      </c>
      <c r="AI209" s="23">
        <f>AH$206*AB209+(1-AH$206)*AC209</f>
        <v>15.764600000000002</v>
      </c>
      <c r="AJ209" s="20">
        <f>AH$206*AE209+(1-AH$206)*AD209</f>
        <v>9.9244199999999996</v>
      </c>
      <c r="AK209" s="23">
        <f>AH$206*AF209+(1-AH$206)*AG209</f>
        <v>15.417200000000001</v>
      </c>
      <c r="AL209" s="20">
        <f>(AH209+AI209)/2</f>
        <v>12.6897</v>
      </c>
      <c r="AM209" s="23">
        <f>(AJ209+AK209)/2</f>
        <v>12.670809999999999</v>
      </c>
      <c r="AN209" s="71">
        <f>(AL209+AM209)/2</f>
        <v>12.680254999999999</v>
      </c>
    </row>
    <row r="210" spans="1:40" x14ac:dyDescent="0.25">
      <c r="A210" s="98" t="s">
        <v>14</v>
      </c>
      <c r="B210" s="4">
        <f t="shared" ref="B210:I218" si="167">B182*$C$173</f>
        <v>0.34650000000000009</v>
      </c>
      <c r="C210" s="2">
        <f t="shared" si="167"/>
        <v>1.3365</v>
      </c>
      <c r="D210" s="2">
        <f t="shared" si="167"/>
        <v>2.7224999999999997</v>
      </c>
      <c r="E210" s="5">
        <f t="shared" si="167"/>
        <v>4.2074999999999996</v>
      </c>
      <c r="F210" s="4">
        <f t="shared" si="167"/>
        <v>0.54570000000000018</v>
      </c>
      <c r="G210" s="2">
        <f t="shared" si="167"/>
        <v>1.3365</v>
      </c>
      <c r="H210" s="2">
        <f t="shared" si="167"/>
        <v>2.7224999999999997</v>
      </c>
      <c r="I210" s="94">
        <f t="shared" si="167"/>
        <v>3.729000000000001</v>
      </c>
      <c r="J210" s="4">
        <f t="shared" ref="J210:Q218" si="168">J182*$C$174</f>
        <v>0.34650000000000009</v>
      </c>
      <c r="K210" s="2">
        <f t="shared" si="168"/>
        <v>1.6665000000000001</v>
      </c>
      <c r="L210" s="2">
        <f t="shared" si="168"/>
        <v>3.3824999999999998</v>
      </c>
      <c r="M210" s="5">
        <f t="shared" si="168"/>
        <v>5.0325000000000006</v>
      </c>
      <c r="N210" s="4">
        <f t="shared" si="168"/>
        <v>0.58950000000000025</v>
      </c>
      <c r="O210" s="2">
        <f t="shared" si="168"/>
        <v>1.6665000000000001</v>
      </c>
      <c r="P210" s="2">
        <f t="shared" si="168"/>
        <v>3.3824999999999998</v>
      </c>
      <c r="Q210" s="94">
        <f t="shared" si="168"/>
        <v>4.5090000000000012</v>
      </c>
      <c r="R210" s="6">
        <f t="shared" ref="R210:Y218" si="169">R182*$C$175</f>
        <v>0.24199999999999999</v>
      </c>
      <c r="S210" s="6">
        <f t="shared" si="169"/>
        <v>1.4520000000000004</v>
      </c>
      <c r="T210" s="6">
        <f t="shared" si="169"/>
        <v>3.3000000000000003</v>
      </c>
      <c r="U210" s="6">
        <f t="shared" si="169"/>
        <v>5.16</v>
      </c>
      <c r="V210" s="6">
        <f t="shared" si="169"/>
        <v>0.41</v>
      </c>
      <c r="W210" s="6">
        <f t="shared" si="169"/>
        <v>1.4520000000000004</v>
      </c>
      <c r="X210" s="6">
        <f t="shared" si="169"/>
        <v>3.3000000000000003</v>
      </c>
      <c r="Y210" s="188">
        <f t="shared" si="169"/>
        <v>4.572000000000001</v>
      </c>
      <c r="Z210" s="4">
        <f t="shared" ref="Z210:Z218" si="170">B210+J210+R210</f>
        <v>0.93500000000000016</v>
      </c>
      <c r="AA210" s="2">
        <f t="shared" si="166"/>
        <v>4.4550000000000001</v>
      </c>
      <c r="AB210" s="2">
        <f t="shared" si="166"/>
        <v>9.4049999999999994</v>
      </c>
      <c r="AC210" s="5">
        <f t="shared" si="166"/>
        <v>14.4</v>
      </c>
      <c r="AD210" s="4">
        <f t="shared" si="166"/>
        <v>1.5452000000000004</v>
      </c>
      <c r="AE210" s="2">
        <f t="shared" si="166"/>
        <v>4.4550000000000001</v>
      </c>
      <c r="AF210" s="2">
        <f t="shared" si="166"/>
        <v>9.4049999999999994</v>
      </c>
      <c r="AG210" s="94">
        <f t="shared" si="166"/>
        <v>12.810000000000004</v>
      </c>
      <c r="AH210" s="26">
        <f t="shared" ref="AH210:AH218" si="171">AH$206*AA210+(1-AH$206)*Z210</f>
        <v>3.7509999999999999</v>
      </c>
      <c r="AI210" s="27">
        <f t="shared" ref="AI210:AI218" si="172">AH$206*AB210+(1-AH$206)*AC210</f>
        <v>10.404</v>
      </c>
      <c r="AJ210" s="26">
        <f t="shared" ref="AJ210:AJ218" si="173">AH$206*AE210+(1-AH$206)*AD210</f>
        <v>3.87304</v>
      </c>
      <c r="AK210" s="27">
        <f t="shared" ref="AK210:AK218" si="174">AH$206*AF210+(1-AH$206)*AG210</f>
        <v>10.086</v>
      </c>
      <c r="AL210" s="26">
        <f t="shared" ref="AL210:AL218" si="175">(AH210+AI210)/2</f>
        <v>7.0774999999999997</v>
      </c>
      <c r="AM210" s="27">
        <f t="shared" ref="AM210:AM218" si="176">(AJ210+AK210)/2</f>
        <v>6.9795199999999999</v>
      </c>
      <c r="AN210" s="72">
        <f t="shared" ref="AN210:AN218" si="177">(AL210+AM210)/2</f>
        <v>7.0285099999999998</v>
      </c>
    </row>
    <row r="211" spans="1:40" x14ac:dyDescent="0.25">
      <c r="A211" s="98" t="s">
        <v>15</v>
      </c>
      <c r="B211" s="4">
        <f t="shared" si="167"/>
        <v>1.2045000000000001</v>
      </c>
      <c r="C211" s="2">
        <f t="shared" si="167"/>
        <v>2.2275</v>
      </c>
      <c r="D211" s="2">
        <f t="shared" si="167"/>
        <v>3.8115000000000006</v>
      </c>
      <c r="E211" s="5">
        <f t="shared" si="167"/>
        <v>5.9894999999999996</v>
      </c>
      <c r="F211" s="4">
        <f t="shared" si="167"/>
        <v>1.524</v>
      </c>
      <c r="G211" s="2">
        <f t="shared" si="167"/>
        <v>2.2275</v>
      </c>
      <c r="H211" s="2">
        <f t="shared" si="167"/>
        <v>3.8115000000000006</v>
      </c>
      <c r="I211" s="94">
        <f t="shared" si="167"/>
        <v>5.246999999999999</v>
      </c>
      <c r="J211" s="4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5">
        <f t="shared" si="168"/>
        <v>7.593</v>
      </c>
      <c r="N211" s="4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94">
        <f t="shared" si="168"/>
        <v>6.8879999999999999</v>
      </c>
      <c r="R211" s="6">
        <f t="shared" si="169"/>
        <v>1.9299999999999997</v>
      </c>
      <c r="S211" s="6">
        <f t="shared" si="169"/>
        <v>3.78</v>
      </c>
      <c r="T211" s="6">
        <f t="shared" si="169"/>
        <v>5.588000000000001</v>
      </c>
      <c r="U211" s="6">
        <f t="shared" si="169"/>
        <v>8.1240000000000006</v>
      </c>
      <c r="V211" s="6">
        <f t="shared" si="169"/>
        <v>2.4999999999999996</v>
      </c>
      <c r="W211" s="6">
        <f t="shared" si="169"/>
        <v>3.78</v>
      </c>
      <c r="X211" s="6">
        <f t="shared" si="169"/>
        <v>5.588000000000001</v>
      </c>
      <c r="Y211" s="188">
        <f t="shared" si="169"/>
        <v>7.2639999999999993</v>
      </c>
      <c r="Z211" s="4">
        <f t="shared" si="170"/>
        <v>5.3244999999999996</v>
      </c>
      <c r="AA211" s="2">
        <f t="shared" si="166"/>
        <v>10.004999999999999</v>
      </c>
      <c r="AB211" s="2">
        <f t="shared" si="166"/>
        <v>14.918000000000001</v>
      </c>
      <c r="AC211" s="5">
        <f t="shared" si="166"/>
        <v>21.706499999999998</v>
      </c>
      <c r="AD211" s="4">
        <f t="shared" si="166"/>
        <v>6.7584999999999997</v>
      </c>
      <c r="AE211" s="2">
        <f t="shared" si="166"/>
        <v>10.004999999999999</v>
      </c>
      <c r="AF211" s="2">
        <f t="shared" si="166"/>
        <v>14.918000000000001</v>
      </c>
      <c r="AG211" s="94">
        <f t="shared" si="166"/>
        <v>19.398999999999997</v>
      </c>
      <c r="AH211" s="26">
        <f t="shared" si="171"/>
        <v>9.0688999999999993</v>
      </c>
      <c r="AI211" s="27">
        <f t="shared" si="172"/>
        <v>16.275700000000001</v>
      </c>
      <c r="AJ211" s="26">
        <f t="shared" si="173"/>
        <v>9.3556999999999988</v>
      </c>
      <c r="AK211" s="27">
        <f t="shared" si="174"/>
        <v>15.8142</v>
      </c>
      <c r="AL211" s="26">
        <f t="shared" si="175"/>
        <v>12.6723</v>
      </c>
      <c r="AM211" s="27">
        <f t="shared" si="176"/>
        <v>12.584949999999999</v>
      </c>
      <c r="AN211" s="72">
        <f t="shared" si="177"/>
        <v>12.628625</v>
      </c>
    </row>
    <row r="212" spans="1:40" x14ac:dyDescent="0.25">
      <c r="A212" s="98" t="s">
        <v>16</v>
      </c>
      <c r="B212" s="4">
        <f t="shared" si="167"/>
        <v>1.6950000000000003</v>
      </c>
      <c r="C212" s="2">
        <f t="shared" si="167"/>
        <v>3.1724999999999999</v>
      </c>
      <c r="D212" s="2">
        <f t="shared" si="167"/>
        <v>4.3635000000000002</v>
      </c>
      <c r="E212" s="5">
        <f t="shared" si="167"/>
        <v>6.0929999999999991</v>
      </c>
      <c r="F212" s="4">
        <f t="shared" si="167"/>
        <v>2.145</v>
      </c>
      <c r="G212" s="2">
        <f t="shared" si="167"/>
        <v>3.1724999999999999</v>
      </c>
      <c r="H212" s="2">
        <f t="shared" si="167"/>
        <v>4.3635000000000002</v>
      </c>
      <c r="I212" s="94">
        <f t="shared" si="167"/>
        <v>5.508</v>
      </c>
      <c r="J212" s="4">
        <f t="shared" si="168"/>
        <v>1.8435000000000001</v>
      </c>
      <c r="K212" s="2">
        <f t="shared" si="168"/>
        <v>3.5520000000000005</v>
      </c>
      <c r="L212" s="2">
        <f t="shared" si="168"/>
        <v>4.9739999999999993</v>
      </c>
      <c r="M212" s="5">
        <f t="shared" si="168"/>
        <v>6.7020000000000008</v>
      </c>
      <c r="N212" s="4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94">
        <f t="shared" si="168"/>
        <v>6.1289999999999996</v>
      </c>
      <c r="R212" s="6">
        <f t="shared" si="169"/>
        <v>0.87800000000000011</v>
      </c>
      <c r="S212" s="6">
        <f t="shared" si="169"/>
        <v>2.4060000000000001</v>
      </c>
      <c r="T212" s="6">
        <f t="shared" si="169"/>
        <v>4.3020000000000005</v>
      </c>
      <c r="U212" s="6">
        <f t="shared" si="169"/>
        <v>6.4860000000000015</v>
      </c>
      <c r="V212" s="6">
        <f t="shared" si="169"/>
        <v>1.2500000000000004</v>
      </c>
      <c r="W212" s="6">
        <f t="shared" si="169"/>
        <v>2.4060000000000001</v>
      </c>
      <c r="X212" s="6">
        <f t="shared" si="169"/>
        <v>4.3020000000000005</v>
      </c>
      <c r="Y212" s="188">
        <f t="shared" si="169"/>
        <v>5.772000000000002</v>
      </c>
      <c r="Z212" s="4">
        <f t="shared" si="170"/>
        <v>4.416500000000001</v>
      </c>
      <c r="AA212" s="2">
        <f t="shared" si="166"/>
        <v>9.1305000000000014</v>
      </c>
      <c r="AB212" s="2">
        <f t="shared" si="166"/>
        <v>13.639499999999998</v>
      </c>
      <c r="AC212" s="5">
        <f t="shared" si="166"/>
        <v>19.281000000000002</v>
      </c>
      <c r="AD212" s="4">
        <f t="shared" si="166"/>
        <v>5.6749999999999989</v>
      </c>
      <c r="AE212" s="2">
        <f t="shared" si="166"/>
        <v>9.1305000000000014</v>
      </c>
      <c r="AF212" s="2">
        <f t="shared" si="166"/>
        <v>13.639499999999998</v>
      </c>
      <c r="AG212" s="94">
        <f t="shared" si="166"/>
        <v>17.409000000000002</v>
      </c>
      <c r="AH212" s="26">
        <f t="shared" si="171"/>
        <v>8.1877000000000013</v>
      </c>
      <c r="AI212" s="27">
        <f t="shared" si="172"/>
        <v>14.767799999999999</v>
      </c>
      <c r="AJ212" s="26">
        <f t="shared" si="173"/>
        <v>8.4394000000000009</v>
      </c>
      <c r="AK212" s="27">
        <f t="shared" si="174"/>
        <v>14.3934</v>
      </c>
      <c r="AL212" s="26">
        <f t="shared" si="175"/>
        <v>11.47775</v>
      </c>
      <c r="AM212" s="27">
        <f t="shared" si="176"/>
        <v>11.416399999999999</v>
      </c>
      <c r="AN212" s="72">
        <f t="shared" si="177"/>
        <v>11.447075</v>
      </c>
    </row>
    <row r="213" spans="1:40" x14ac:dyDescent="0.25">
      <c r="A213" s="98" t="s">
        <v>18</v>
      </c>
      <c r="B213" s="4">
        <f t="shared" si="167"/>
        <v>1.335</v>
      </c>
      <c r="C213" s="2">
        <f t="shared" si="167"/>
        <v>2.4975000000000001</v>
      </c>
      <c r="D213" s="2">
        <f t="shared" si="167"/>
        <v>4.0184999999999995</v>
      </c>
      <c r="E213" s="5">
        <f t="shared" si="167"/>
        <v>6.0930000000000009</v>
      </c>
      <c r="F213" s="4">
        <f t="shared" si="167"/>
        <v>1.6995000000000002</v>
      </c>
      <c r="G213" s="2">
        <f t="shared" si="167"/>
        <v>2.4975000000000001</v>
      </c>
      <c r="H213" s="2">
        <f t="shared" si="167"/>
        <v>4.0184999999999995</v>
      </c>
      <c r="I213" s="94">
        <f t="shared" si="167"/>
        <v>5.3879999999999999</v>
      </c>
      <c r="J213" s="4">
        <f t="shared" si="168"/>
        <v>2.19</v>
      </c>
      <c r="K213" s="2">
        <f t="shared" si="168"/>
        <v>3.9975000000000001</v>
      </c>
      <c r="L213" s="2">
        <f t="shared" si="168"/>
        <v>5.5184999999999995</v>
      </c>
      <c r="M213" s="5">
        <f t="shared" si="168"/>
        <v>7.593</v>
      </c>
      <c r="N213" s="4">
        <f t="shared" si="168"/>
        <v>2.7344999999999993</v>
      </c>
      <c r="O213" s="2">
        <f t="shared" si="168"/>
        <v>3.9975000000000001</v>
      </c>
      <c r="P213" s="2">
        <f t="shared" si="168"/>
        <v>5.5184999999999995</v>
      </c>
      <c r="Q213" s="94">
        <f t="shared" si="168"/>
        <v>6.8879999999999999</v>
      </c>
      <c r="R213" s="6">
        <f t="shared" si="169"/>
        <v>1.028</v>
      </c>
      <c r="S213" s="6">
        <f t="shared" si="169"/>
        <v>2.8559999999999999</v>
      </c>
      <c r="T213" s="6">
        <f t="shared" si="169"/>
        <v>4.532</v>
      </c>
      <c r="U213" s="6">
        <f t="shared" si="169"/>
        <v>6.4860000000000007</v>
      </c>
      <c r="V213" s="6">
        <f t="shared" si="169"/>
        <v>1.4839999999999998</v>
      </c>
      <c r="W213" s="6">
        <f t="shared" si="169"/>
        <v>2.8559999999999999</v>
      </c>
      <c r="X213" s="6">
        <f t="shared" si="169"/>
        <v>4.532</v>
      </c>
      <c r="Y213" s="188">
        <f t="shared" si="169"/>
        <v>5.8520000000000003</v>
      </c>
      <c r="Z213" s="4">
        <f t="shared" si="170"/>
        <v>4.5529999999999999</v>
      </c>
      <c r="AA213" s="2">
        <f t="shared" si="166"/>
        <v>9.3509999999999991</v>
      </c>
      <c r="AB213" s="2">
        <f t="shared" si="166"/>
        <v>14.068999999999999</v>
      </c>
      <c r="AC213" s="5">
        <f t="shared" si="166"/>
        <v>20.172000000000001</v>
      </c>
      <c r="AD213" s="4">
        <f t="shared" si="166"/>
        <v>5.9179999999999993</v>
      </c>
      <c r="AE213" s="2">
        <f t="shared" si="166"/>
        <v>9.3509999999999991</v>
      </c>
      <c r="AF213" s="2">
        <f t="shared" si="166"/>
        <v>14.068999999999999</v>
      </c>
      <c r="AG213" s="94">
        <f t="shared" si="166"/>
        <v>18.128</v>
      </c>
      <c r="AH213" s="26">
        <f t="shared" si="171"/>
        <v>8.3913999999999991</v>
      </c>
      <c r="AI213" s="27">
        <f t="shared" si="172"/>
        <v>15.2896</v>
      </c>
      <c r="AJ213" s="26">
        <f t="shared" si="173"/>
        <v>8.6643999999999988</v>
      </c>
      <c r="AK213" s="27">
        <f t="shared" si="174"/>
        <v>14.880799999999999</v>
      </c>
      <c r="AL213" s="26">
        <f t="shared" si="175"/>
        <v>11.840499999999999</v>
      </c>
      <c r="AM213" s="27">
        <f t="shared" si="176"/>
        <v>11.772599999999999</v>
      </c>
      <c r="AN213" s="72">
        <f t="shared" si="177"/>
        <v>11.806549999999998</v>
      </c>
    </row>
    <row r="214" spans="1:40" x14ac:dyDescent="0.25">
      <c r="A214" s="98" t="s">
        <v>19</v>
      </c>
      <c r="B214" s="4">
        <f t="shared" si="167"/>
        <v>1.3485000000000003</v>
      </c>
      <c r="C214" s="2">
        <f t="shared" si="167"/>
        <v>2.7269999999999999</v>
      </c>
      <c r="D214" s="2">
        <f t="shared" si="167"/>
        <v>3.819</v>
      </c>
      <c r="E214" s="5">
        <f t="shared" si="167"/>
        <v>5.202</v>
      </c>
      <c r="F214" s="4">
        <f t="shared" si="167"/>
        <v>1.6904999999999997</v>
      </c>
      <c r="G214" s="2">
        <f t="shared" si="167"/>
        <v>2.7269999999999999</v>
      </c>
      <c r="H214" s="2">
        <f t="shared" si="167"/>
        <v>3.819</v>
      </c>
      <c r="I214" s="94">
        <f t="shared" si="167"/>
        <v>4.7489999999999997</v>
      </c>
      <c r="J214" s="4">
        <f t="shared" si="168"/>
        <v>1.8435000000000001</v>
      </c>
      <c r="K214" s="2">
        <f t="shared" si="168"/>
        <v>3.5520000000000005</v>
      </c>
      <c r="L214" s="2">
        <f t="shared" si="168"/>
        <v>4.9739999999999993</v>
      </c>
      <c r="M214" s="5">
        <f t="shared" si="168"/>
        <v>6.7020000000000008</v>
      </c>
      <c r="N214" s="4">
        <f t="shared" si="168"/>
        <v>2.2799999999999994</v>
      </c>
      <c r="O214" s="2">
        <f t="shared" si="168"/>
        <v>3.5520000000000005</v>
      </c>
      <c r="P214" s="2">
        <f t="shared" si="168"/>
        <v>4.9739999999999993</v>
      </c>
      <c r="Q214" s="94">
        <f t="shared" si="168"/>
        <v>6.1289999999999996</v>
      </c>
      <c r="R214" s="6">
        <f t="shared" si="169"/>
        <v>0.46200000000000013</v>
      </c>
      <c r="S214" s="6">
        <f t="shared" si="169"/>
        <v>1.782</v>
      </c>
      <c r="T214" s="6">
        <f t="shared" si="169"/>
        <v>3.6300000000000008</v>
      </c>
      <c r="U214" s="6">
        <f t="shared" si="169"/>
        <v>5.61</v>
      </c>
      <c r="V214" s="6">
        <f t="shared" si="169"/>
        <v>0.72760000000000036</v>
      </c>
      <c r="W214" s="6">
        <f t="shared" si="169"/>
        <v>1.782</v>
      </c>
      <c r="X214" s="6">
        <f t="shared" si="169"/>
        <v>3.6300000000000008</v>
      </c>
      <c r="Y214" s="188">
        <f t="shared" si="169"/>
        <v>4.9720000000000013</v>
      </c>
      <c r="Z214" s="4">
        <f t="shared" si="170"/>
        <v>3.6540000000000004</v>
      </c>
      <c r="AA214" s="2">
        <f t="shared" si="166"/>
        <v>8.0609999999999999</v>
      </c>
      <c r="AB214" s="2">
        <f t="shared" si="166"/>
        <v>12.423</v>
      </c>
      <c r="AC214" s="5">
        <f t="shared" si="166"/>
        <v>17.513999999999999</v>
      </c>
      <c r="AD214" s="4">
        <f t="shared" si="166"/>
        <v>4.6980999999999993</v>
      </c>
      <c r="AE214" s="2">
        <f t="shared" si="166"/>
        <v>8.0609999999999999</v>
      </c>
      <c r="AF214" s="2">
        <f t="shared" si="166"/>
        <v>12.423</v>
      </c>
      <c r="AG214" s="94">
        <f t="shared" si="166"/>
        <v>15.850000000000001</v>
      </c>
      <c r="AH214" s="26">
        <f t="shared" si="171"/>
        <v>7.1796000000000006</v>
      </c>
      <c r="AI214" s="27">
        <f t="shared" si="172"/>
        <v>13.4412</v>
      </c>
      <c r="AJ214" s="26">
        <f t="shared" si="173"/>
        <v>7.38842</v>
      </c>
      <c r="AK214" s="27">
        <f t="shared" si="174"/>
        <v>13.108400000000001</v>
      </c>
      <c r="AL214" s="26">
        <f t="shared" si="175"/>
        <v>10.310400000000001</v>
      </c>
      <c r="AM214" s="27">
        <f t="shared" si="176"/>
        <v>10.24841</v>
      </c>
      <c r="AN214" s="72">
        <f t="shared" si="177"/>
        <v>10.279405000000001</v>
      </c>
    </row>
    <row r="215" spans="1:40" x14ac:dyDescent="0.25">
      <c r="A215" s="98" t="s">
        <v>20</v>
      </c>
      <c r="B215" s="4">
        <f t="shared" si="167"/>
        <v>1.3485000000000003</v>
      </c>
      <c r="C215" s="2">
        <f t="shared" si="167"/>
        <v>2.7269999999999999</v>
      </c>
      <c r="D215" s="2">
        <f t="shared" si="167"/>
        <v>3.819</v>
      </c>
      <c r="E215" s="5">
        <f t="shared" si="167"/>
        <v>5.202</v>
      </c>
      <c r="F215" s="4">
        <f t="shared" si="167"/>
        <v>1.6904999999999997</v>
      </c>
      <c r="G215" s="2">
        <f t="shared" si="167"/>
        <v>2.7269999999999999</v>
      </c>
      <c r="H215" s="2">
        <f t="shared" si="167"/>
        <v>3.819</v>
      </c>
      <c r="I215" s="94">
        <f t="shared" si="167"/>
        <v>4.7489999999999997</v>
      </c>
      <c r="J215" s="4">
        <f t="shared" si="168"/>
        <v>1.8435000000000001</v>
      </c>
      <c r="K215" s="2">
        <f t="shared" si="168"/>
        <v>3.5520000000000005</v>
      </c>
      <c r="L215" s="2">
        <f t="shared" si="168"/>
        <v>4.9739999999999993</v>
      </c>
      <c r="M215" s="5">
        <f t="shared" si="168"/>
        <v>6.7020000000000008</v>
      </c>
      <c r="N215" s="4">
        <f t="shared" si="168"/>
        <v>2.2799999999999994</v>
      </c>
      <c r="O215" s="2">
        <f t="shared" si="168"/>
        <v>3.5520000000000005</v>
      </c>
      <c r="P215" s="2">
        <f t="shared" si="168"/>
        <v>4.9739999999999993</v>
      </c>
      <c r="Q215" s="94">
        <f t="shared" si="168"/>
        <v>6.1289999999999996</v>
      </c>
      <c r="R215" s="6">
        <f t="shared" si="169"/>
        <v>0.87800000000000011</v>
      </c>
      <c r="S215" s="6">
        <f t="shared" si="169"/>
        <v>2.4060000000000001</v>
      </c>
      <c r="T215" s="6">
        <f t="shared" si="169"/>
        <v>4.3020000000000005</v>
      </c>
      <c r="U215" s="6">
        <f t="shared" si="169"/>
        <v>6.4860000000000015</v>
      </c>
      <c r="V215" s="6">
        <f t="shared" si="169"/>
        <v>1.2500000000000004</v>
      </c>
      <c r="W215" s="6">
        <f t="shared" si="169"/>
        <v>2.4060000000000001</v>
      </c>
      <c r="X215" s="6">
        <f t="shared" si="169"/>
        <v>4.3020000000000005</v>
      </c>
      <c r="Y215" s="188">
        <f t="shared" si="169"/>
        <v>5.772000000000002</v>
      </c>
      <c r="Z215" s="4">
        <f t="shared" si="170"/>
        <v>4.07</v>
      </c>
      <c r="AA215" s="2">
        <f t="shared" si="166"/>
        <v>8.6850000000000005</v>
      </c>
      <c r="AB215" s="2">
        <f t="shared" si="166"/>
        <v>13.094999999999999</v>
      </c>
      <c r="AC215" s="5">
        <f t="shared" si="166"/>
        <v>18.39</v>
      </c>
      <c r="AD215" s="4">
        <f t="shared" si="166"/>
        <v>5.2204999999999995</v>
      </c>
      <c r="AE215" s="2">
        <f t="shared" si="166"/>
        <v>8.6850000000000005</v>
      </c>
      <c r="AF215" s="2">
        <f t="shared" si="166"/>
        <v>13.094999999999999</v>
      </c>
      <c r="AG215" s="94">
        <f t="shared" si="166"/>
        <v>16.650000000000002</v>
      </c>
      <c r="AH215" s="26">
        <f t="shared" si="171"/>
        <v>7.7620000000000005</v>
      </c>
      <c r="AI215" s="27">
        <f t="shared" si="172"/>
        <v>14.153999999999998</v>
      </c>
      <c r="AJ215" s="26">
        <f t="shared" si="173"/>
        <v>7.9920999999999998</v>
      </c>
      <c r="AK215" s="27">
        <f t="shared" si="174"/>
        <v>13.805999999999999</v>
      </c>
      <c r="AL215" s="26">
        <f t="shared" si="175"/>
        <v>10.957999999999998</v>
      </c>
      <c r="AM215" s="27">
        <f t="shared" si="176"/>
        <v>10.899049999999999</v>
      </c>
      <c r="AN215" s="72">
        <f t="shared" si="177"/>
        <v>10.928524999999999</v>
      </c>
    </row>
    <row r="216" spans="1:40" x14ac:dyDescent="0.25">
      <c r="A216" s="98" t="s">
        <v>21</v>
      </c>
      <c r="B216" s="4">
        <f t="shared" si="167"/>
        <v>1.5779999999999998</v>
      </c>
      <c r="C216" s="2">
        <f t="shared" si="167"/>
        <v>3.1050000000000004</v>
      </c>
      <c r="D216" s="2">
        <f t="shared" si="167"/>
        <v>4.3979999999999997</v>
      </c>
      <c r="E216" s="5">
        <f t="shared" si="167"/>
        <v>6.1965000000000003</v>
      </c>
      <c r="F216" s="4">
        <f t="shared" si="167"/>
        <v>2.0504999999999995</v>
      </c>
      <c r="G216" s="2">
        <f t="shared" si="167"/>
        <v>3.1050000000000004</v>
      </c>
      <c r="H216" s="2">
        <f t="shared" si="167"/>
        <v>4.3979999999999997</v>
      </c>
      <c r="I216" s="94">
        <f t="shared" si="167"/>
        <v>5.5889999999999995</v>
      </c>
      <c r="J216" s="4">
        <f t="shared" si="168"/>
        <v>1.2659999999999998</v>
      </c>
      <c r="K216" s="2">
        <f t="shared" si="168"/>
        <v>2.9670000000000001</v>
      </c>
      <c r="L216" s="2">
        <f t="shared" si="168"/>
        <v>4.5539999999999994</v>
      </c>
      <c r="M216" s="5">
        <f t="shared" si="168"/>
        <v>6.3645000000000005</v>
      </c>
      <c r="N216" s="4">
        <f t="shared" si="168"/>
        <v>1.7024999999999997</v>
      </c>
      <c r="O216" s="2">
        <f t="shared" si="168"/>
        <v>2.9670000000000001</v>
      </c>
      <c r="P216" s="2">
        <f t="shared" si="168"/>
        <v>4.5539999999999994</v>
      </c>
      <c r="Q216" s="94">
        <f t="shared" si="168"/>
        <v>5.7690000000000001</v>
      </c>
      <c r="R216" s="6">
        <f t="shared" si="169"/>
        <v>1.7980000000000005</v>
      </c>
      <c r="S216" s="6">
        <f t="shared" si="169"/>
        <v>3.6360000000000001</v>
      </c>
      <c r="T216" s="6">
        <f t="shared" si="169"/>
        <v>5.0920000000000005</v>
      </c>
      <c r="U216" s="6">
        <f t="shared" si="169"/>
        <v>6.9359999999999999</v>
      </c>
      <c r="V216" s="6">
        <f t="shared" si="169"/>
        <v>2.2539999999999996</v>
      </c>
      <c r="W216" s="6">
        <f t="shared" si="169"/>
        <v>3.6360000000000001</v>
      </c>
      <c r="X216" s="6">
        <f t="shared" si="169"/>
        <v>5.0920000000000005</v>
      </c>
      <c r="Y216" s="188">
        <f t="shared" si="169"/>
        <v>6.3320000000000007</v>
      </c>
      <c r="Z216" s="4">
        <f t="shared" si="170"/>
        <v>4.6419999999999995</v>
      </c>
      <c r="AA216" s="2">
        <f t="shared" si="166"/>
        <v>9.708000000000002</v>
      </c>
      <c r="AB216" s="2">
        <f t="shared" si="166"/>
        <v>14.043999999999999</v>
      </c>
      <c r="AC216" s="5">
        <f t="shared" si="166"/>
        <v>19.497</v>
      </c>
      <c r="AD216" s="4">
        <f t="shared" si="166"/>
        <v>6.0069999999999988</v>
      </c>
      <c r="AE216" s="2">
        <f t="shared" si="166"/>
        <v>9.708000000000002</v>
      </c>
      <c r="AF216" s="2">
        <f t="shared" si="166"/>
        <v>14.043999999999999</v>
      </c>
      <c r="AG216" s="94">
        <f t="shared" si="166"/>
        <v>17.690000000000001</v>
      </c>
      <c r="AH216" s="26">
        <f t="shared" si="171"/>
        <v>8.6948000000000008</v>
      </c>
      <c r="AI216" s="27">
        <f t="shared" si="172"/>
        <v>15.134599999999999</v>
      </c>
      <c r="AJ216" s="26">
        <f t="shared" si="173"/>
        <v>8.9678000000000004</v>
      </c>
      <c r="AK216" s="27">
        <f t="shared" si="174"/>
        <v>14.773199999999999</v>
      </c>
      <c r="AL216" s="26">
        <f t="shared" si="175"/>
        <v>11.9147</v>
      </c>
      <c r="AM216" s="27">
        <f t="shared" si="176"/>
        <v>11.8705</v>
      </c>
      <c r="AN216" s="72">
        <f t="shared" si="177"/>
        <v>11.8926</v>
      </c>
    </row>
    <row r="217" spans="1:40" x14ac:dyDescent="0.25">
      <c r="A217" s="98" t="s">
        <v>23</v>
      </c>
      <c r="B217" s="4">
        <f t="shared" si="167"/>
        <v>1.335</v>
      </c>
      <c r="C217" s="2">
        <f t="shared" si="167"/>
        <v>2.4975000000000001</v>
      </c>
      <c r="D217" s="2">
        <f t="shared" si="167"/>
        <v>4.0184999999999995</v>
      </c>
      <c r="E217" s="5">
        <f t="shared" si="167"/>
        <v>6.0930000000000009</v>
      </c>
      <c r="F217" s="4">
        <f t="shared" si="167"/>
        <v>1.6995000000000002</v>
      </c>
      <c r="G217" s="2">
        <f t="shared" si="167"/>
        <v>2.4975000000000001</v>
      </c>
      <c r="H217" s="2">
        <f t="shared" si="167"/>
        <v>4.0184999999999995</v>
      </c>
      <c r="I217" s="94">
        <f t="shared" si="167"/>
        <v>5.3879999999999999</v>
      </c>
      <c r="J217" s="4">
        <f t="shared" si="168"/>
        <v>1.5135000000000003</v>
      </c>
      <c r="K217" s="2">
        <f t="shared" si="168"/>
        <v>3.3045</v>
      </c>
      <c r="L217" s="2">
        <f t="shared" si="168"/>
        <v>4.7264999999999997</v>
      </c>
      <c r="M217" s="5">
        <f t="shared" si="168"/>
        <v>6.3644999999999996</v>
      </c>
      <c r="N217" s="4">
        <f t="shared" si="168"/>
        <v>1.9724999999999997</v>
      </c>
      <c r="O217" s="2">
        <f t="shared" si="168"/>
        <v>3.3045</v>
      </c>
      <c r="P217" s="2">
        <f t="shared" si="168"/>
        <v>4.7264999999999997</v>
      </c>
      <c r="Q217" s="94">
        <f t="shared" si="168"/>
        <v>5.8290000000000006</v>
      </c>
      <c r="R217" s="6">
        <f t="shared" si="169"/>
        <v>1.028</v>
      </c>
      <c r="S217" s="6">
        <f t="shared" si="169"/>
        <v>2.8559999999999999</v>
      </c>
      <c r="T217" s="6">
        <f t="shared" si="169"/>
        <v>4.532</v>
      </c>
      <c r="U217" s="6">
        <f t="shared" si="169"/>
        <v>6.4860000000000007</v>
      </c>
      <c r="V217" s="6">
        <f t="shared" si="169"/>
        <v>1.4839999999999998</v>
      </c>
      <c r="W217" s="6">
        <f t="shared" si="169"/>
        <v>2.8559999999999999</v>
      </c>
      <c r="X217" s="6">
        <f t="shared" si="169"/>
        <v>4.532</v>
      </c>
      <c r="Y217" s="188">
        <f t="shared" si="169"/>
        <v>5.8520000000000003</v>
      </c>
      <c r="Z217" s="4">
        <f t="shared" si="170"/>
        <v>3.8765000000000005</v>
      </c>
      <c r="AA217" s="2">
        <f t="shared" si="166"/>
        <v>8.6579999999999995</v>
      </c>
      <c r="AB217" s="2">
        <f t="shared" si="166"/>
        <v>13.276999999999999</v>
      </c>
      <c r="AC217" s="5">
        <f t="shared" si="166"/>
        <v>18.9435</v>
      </c>
      <c r="AD217" s="4">
        <f t="shared" si="166"/>
        <v>5.1559999999999997</v>
      </c>
      <c r="AE217" s="2">
        <f t="shared" si="166"/>
        <v>8.6579999999999995</v>
      </c>
      <c r="AF217" s="2">
        <f t="shared" si="166"/>
        <v>13.276999999999999</v>
      </c>
      <c r="AG217" s="94">
        <f t="shared" si="166"/>
        <v>17.069000000000003</v>
      </c>
      <c r="AH217" s="26">
        <f t="shared" si="171"/>
        <v>7.7016999999999998</v>
      </c>
      <c r="AI217" s="27">
        <f t="shared" si="172"/>
        <v>14.410299999999999</v>
      </c>
      <c r="AJ217" s="26">
        <f t="shared" si="173"/>
        <v>7.9575999999999993</v>
      </c>
      <c r="AK217" s="27">
        <f t="shared" si="174"/>
        <v>14.035400000000001</v>
      </c>
      <c r="AL217" s="26">
        <f t="shared" si="175"/>
        <v>11.055999999999999</v>
      </c>
      <c r="AM217" s="27">
        <f t="shared" si="176"/>
        <v>10.996500000000001</v>
      </c>
      <c r="AN217" s="72">
        <f t="shared" si="177"/>
        <v>11.026250000000001</v>
      </c>
    </row>
    <row r="218" spans="1:40" ht="15.75" thickBot="1" x14ac:dyDescent="0.3">
      <c r="A218" s="99" t="s">
        <v>24</v>
      </c>
      <c r="B218" s="95">
        <f t="shared" si="167"/>
        <v>0.65850000000000009</v>
      </c>
      <c r="C218" s="58">
        <f t="shared" si="167"/>
        <v>1.8045</v>
      </c>
      <c r="D218" s="58">
        <f t="shared" si="167"/>
        <v>3.2264999999999997</v>
      </c>
      <c r="E218" s="62">
        <f t="shared" si="167"/>
        <v>4.8644999999999996</v>
      </c>
      <c r="F218" s="95">
        <f t="shared" si="167"/>
        <v>0.93750000000000022</v>
      </c>
      <c r="G218" s="58">
        <f t="shared" si="167"/>
        <v>1.8045</v>
      </c>
      <c r="H218" s="58">
        <f t="shared" si="167"/>
        <v>3.2264999999999997</v>
      </c>
      <c r="I218" s="101">
        <f t="shared" si="167"/>
        <v>4.3290000000000006</v>
      </c>
      <c r="J218" s="95">
        <f t="shared" si="168"/>
        <v>1.5135000000000003</v>
      </c>
      <c r="K218" s="58">
        <f t="shared" si="168"/>
        <v>3.3045</v>
      </c>
      <c r="L218" s="58">
        <f t="shared" si="168"/>
        <v>4.7264999999999997</v>
      </c>
      <c r="M218" s="62">
        <f t="shared" si="168"/>
        <v>6.3644999999999996</v>
      </c>
      <c r="N218" s="95">
        <f t="shared" si="168"/>
        <v>1.9724999999999997</v>
      </c>
      <c r="O218" s="58">
        <f t="shared" si="168"/>
        <v>3.3045</v>
      </c>
      <c r="P218" s="58">
        <f t="shared" si="168"/>
        <v>4.7264999999999997</v>
      </c>
      <c r="Q218" s="101">
        <f t="shared" si="168"/>
        <v>5.8290000000000006</v>
      </c>
      <c r="R218" s="108">
        <f t="shared" si="169"/>
        <v>1.6879999999999999</v>
      </c>
      <c r="S218" s="108">
        <f t="shared" si="169"/>
        <v>3.5160000000000005</v>
      </c>
      <c r="T218" s="108">
        <f t="shared" si="169"/>
        <v>5.1920000000000002</v>
      </c>
      <c r="U218" s="108">
        <f t="shared" si="169"/>
        <v>7.3860000000000001</v>
      </c>
      <c r="V218" s="108">
        <f t="shared" si="169"/>
        <v>2.2115999999999993</v>
      </c>
      <c r="W218" s="108">
        <f t="shared" si="169"/>
        <v>3.5160000000000005</v>
      </c>
      <c r="X218" s="108">
        <f t="shared" si="169"/>
        <v>5.1920000000000002</v>
      </c>
      <c r="Y218" s="73">
        <f t="shared" si="169"/>
        <v>6.6520000000000001</v>
      </c>
      <c r="Z218" s="95">
        <f t="shared" si="170"/>
        <v>3.8600000000000003</v>
      </c>
      <c r="AA218" s="58">
        <f t="shared" si="166"/>
        <v>8.625</v>
      </c>
      <c r="AB218" s="58">
        <f t="shared" si="166"/>
        <v>13.145</v>
      </c>
      <c r="AC218" s="62">
        <f t="shared" si="166"/>
        <v>18.614999999999998</v>
      </c>
      <c r="AD218" s="95">
        <f t="shared" si="166"/>
        <v>5.121599999999999</v>
      </c>
      <c r="AE218" s="58">
        <f t="shared" si="166"/>
        <v>8.625</v>
      </c>
      <c r="AF218" s="58">
        <f t="shared" si="166"/>
        <v>13.145</v>
      </c>
      <c r="AG218" s="101">
        <f t="shared" si="166"/>
        <v>16.810000000000002</v>
      </c>
      <c r="AH218" s="30">
        <f t="shared" si="171"/>
        <v>7.6720000000000006</v>
      </c>
      <c r="AI218" s="33">
        <f t="shared" si="172"/>
        <v>14.238999999999999</v>
      </c>
      <c r="AJ218" s="30">
        <f t="shared" si="173"/>
        <v>7.9243199999999998</v>
      </c>
      <c r="AK218" s="33">
        <f t="shared" si="174"/>
        <v>13.878</v>
      </c>
      <c r="AL218" s="30">
        <f t="shared" si="175"/>
        <v>10.955500000000001</v>
      </c>
      <c r="AM218" s="33">
        <f t="shared" si="176"/>
        <v>10.901160000000001</v>
      </c>
      <c r="AN218" s="73">
        <f t="shared" si="177"/>
        <v>10.928330000000001</v>
      </c>
    </row>
  </sheetData>
  <mergeCells count="146">
    <mergeCell ref="A5:E5"/>
    <mergeCell ref="A11:A12"/>
    <mergeCell ref="B11:B12"/>
    <mergeCell ref="C11:C12"/>
    <mergeCell ref="D11:F11"/>
    <mergeCell ref="G11:I11"/>
    <mergeCell ref="AY11:BF11"/>
    <mergeCell ref="BG11:BN11"/>
    <mergeCell ref="BO11:BR11"/>
    <mergeCell ref="J11:J12"/>
    <mergeCell ref="BS11:BT11"/>
    <mergeCell ref="BU11:BU12"/>
    <mergeCell ref="K12:N12"/>
    <mergeCell ref="O12:R12"/>
    <mergeCell ref="S12:V12"/>
    <mergeCell ref="W12:Z12"/>
    <mergeCell ref="AA12:AD12"/>
    <mergeCell ref="K11:R11"/>
    <mergeCell ref="S11:Z11"/>
    <mergeCell ref="AA11:AH11"/>
    <mergeCell ref="AI11:AP11"/>
    <mergeCell ref="AQ11:AX11"/>
    <mergeCell ref="AE12:AH12"/>
    <mergeCell ref="AI12:AL12"/>
    <mergeCell ref="AM12:AP12"/>
    <mergeCell ref="AQ12:AT12"/>
    <mergeCell ref="BQ12:BR12"/>
    <mergeCell ref="AU12:AX12"/>
    <mergeCell ref="AY12:BB12"/>
    <mergeCell ref="BC12:BF12"/>
    <mergeCell ref="BG12:BJ12"/>
    <mergeCell ref="BK12:BN12"/>
    <mergeCell ref="BO12:BP12"/>
    <mergeCell ref="E39:L39"/>
    <mergeCell ref="E45:L45"/>
    <mergeCell ref="A63:A64"/>
    <mergeCell ref="B63:B64"/>
    <mergeCell ref="C63:C64"/>
    <mergeCell ref="D63:F63"/>
    <mergeCell ref="G63:I63"/>
    <mergeCell ref="J63:J64"/>
    <mergeCell ref="K63:R63"/>
    <mergeCell ref="BO63:BR63"/>
    <mergeCell ref="BS63:BT63"/>
    <mergeCell ref="BU63:BU64"/>
    <mergeCell ref="K64:N64"/>
    <mergeCell ref="O64:R64"/>
    <mergeCell ref="S64:V64"/>
    <mergeCell ref="W64:Z64"/>
    <mergeCell ref="AA64:AD64"/>
    <mergeCell ref="AE64:AH64"/>
    <mergeCell ref="AI64:AL64"/>
    <mergeCell ref="S63:Z63"/>
    <mergeCell ref="AA63:AH63"/>
    <mergeCell ref="AI63:AP63"/>
    <mergeCell ref="AQ63:AX63"/>
    <mergeCell ref="AY63:BF63"/>
    <mergeCell ref="BG63:BN63"/>
    <mergeCell ref="BK64:BN64"/>
    <mergeCell ref="BO64:BP64"/>
    <mergeCell ref="BQ64:BR64"/>
    <mergeCell ref="AU64:AX64"/>
    <mergeCell ref="AY64:BB64"/>
    <mergeCell ref="BC64:BF64"/>
    <mergeCell ref="BG64:BJ64"/>
    <mergeCell ref="E91:L91"/>
    <mergeCell ref="E97:L97"/>
    <mergeCell ref="A115:A116"/>
    <mergeCell ref="B115:B116"/>
    <mergeCell ref="C115:C116"/>
    <mergeCell ref="D115:F115"/>
    <mergeCell ref="G115:I115"/>
    <mergeCell ref="AM64:AP64"/>
    <mergeCell ref="AQ64:AT64"/>
    <mergeCell ref="AY115:BF115"/>
    <mergeCell ref="BG115:BN115"/>
    <mergeCell ref="BO115:BR115"/>
    <mergeCell ref="BS115:BT115"/>
    <mergeCell ref="BU115:BU116"/>
    <mergeCell ref="K116:N116"/>
    <mergeCell ref="O116:R116"/>
    <mergeCell ref="S116:V116"/>
    <mergeCell ref="W116:Z116"/>
    <mergeCell ref="AA116:AD116"/>
    <mergeCell ref="K115:R115"/>
    <mergeCell ref="S115:Z115"/>
    <mergeCell ref="AA115:AH115"/>
    <mergeCell ref="AI115:AP115"/>
    <mergeCell ref="AQ115:AX115"/>
    <mergeCell ref="AE116:AH116"/>
    <mergeCell ref="AI116:AL116"/>
    <mergeCell ref="AM116:AP116"/>
    <mergeCell ref="AQ116:AT116"/>
    <mergeCell ref="N180:Q180"/>
    <mergeCell ref="R180:U180"/>
    <mergeCell ref="V180:Y180"/>
    <mergeCell ref="A193:A194"/>
    <mergeCell ref="B193:I193"/>
    <mergeCell ref="J193:Q193"/>
    <mergeCell ref="R193:Y193"/>
    <mergeCell ref="BQ116:BR116"/>
    <mergeCell ref="E143:L143"/>
    <mergeCell ref="E149:L149"/>
    <mergeCell ref="A179:A180"/>
    <mergeCell ref="B179:I179"/>
    <mergeCell ref="J179:Q179"/>
    <mergeCell ref="R179:Y179"/>
    <mergeCell ref="B180:E180"/>
    <mergeCell ref="F180:I180"/>
    <mergeCell ref="J180:M180"/>
    <mergeCell ref="AU116:AX116"/>
    <mergeCell ref="AY116:BB116"/>
    <mergeCell ref="BC116:BF116"/>
    <mergeCell ref="BG116:BJ116"/>
    <mergeCell ref="BK116:BN116"/>
    <mergeCell ref="BO116:BP116"/>
    <mergeCell ref="J115:J116"/>
    <mergeCell ref="AB194:AC194"/>
    <mergeCell ref="A207:A208"/>
    <mergeCell ref="B207:I207"/>
    <mergeCell ref="J207:Q207"/>
    <mergeCell ref="R207:Y207"/>
    <mergeCell ref="Z207:AG207"/>
    <mergeCell ref="AD208:AG208"/>
    <mergeCell ref="Z193:AC193"/>
    <mergeCell ref="AD193:AE193"/>
    <mergeCell ref="AF193:AF194"/>
    <mergeCell ref="B194:E194"/>
    <mergeCell ref="F194:I194"/>
    <mergeCell ref="J194:M194"/>
    <mergeCell ref="N194:Q194"/>
    <mergeCell ref="R194:U194"/>
    <mergeCell ref="V194:Y194"/>
    <mergeCell ref="Z194:AA194"/>
    <mergeCell ref="AH208:AI208"/>
    <mergeCell ref="AJ208:AK208"/>
    <mergeCell ref="AH207:AK207"/>
    <mergeCell ref="AL207:AM207"/>
    <mergeCell ref="AN207:AN208"/>
    <mergeCell ref="B208:E208"/>
    <mergeCell ref="F208:I208"/>
    <mergeCell ref="J208:M208"/>
    <mergeCell ref="N208:Q208"/>
    <mergeCell ref="R208:U208"/>
    <mergeCell ref="V208:Y208"/>
    <mergeCell ref="Z208:AC208"/>
  </mergeCells>
  <hyperlinks>
    <hyperlink ref="B4" r:id="rId1" xr:uid="{4D2DACB5-3264-4F17-9B5E-44BA2F5A7FC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U348"/>
  <sheetViews>
    <sheetView zoomScale="89" zoomScaleNormal="89" workbookViewId="0">
      <selection activeCell="K342" sqref="J342:K342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203" t="s">
        <v>241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183</v>
      </c>
      <c r="B4" s="40" t="s">
        <v>38</v>
      </c>
      <c r="C4" s="37"/>
    </row>
    <row r="5" spans="1:73" ht="30" customHeight="1" x14ac:dyDescent="0.25">
      <c r="A5" s="246" t="s">
        <v>221</v>
      </c>
      <c r="B5" s="247"/>
      <c r="C5" s="247"/>
      <c r="D5" s="248"/>
      <c r="E5" s="248"/>
    </row>
    <row r="6" spans="1:73" ht="31.5" x14ac:dyDescent="0.25">
      <c r="A6" s="146" t="s">
        <v>181</v>
      </c>
      <c r="B6" s="40" t="s">
        <v>182</v>
      </c>
      <c r="C6" s="38"/>
    </row>
    <row r="7" spans="1:73" x14ac:dyDescent="0.25">
      <c r="A7" s="246" t="s">
        <v>223</v>
      </c>
      <c r="B7" s="247"/>
      <c r="C7" s="247"/>
      <c r="D7" s="248"/>
      <c r="E7" s="24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42" t="s">
        <v>26</v>
      </c>
      <c r="B12" s="242" t="s">
        <v>27</v>
      </c>
      <c r="C12" s="243" t="s">
        <v>28</v>
      </c>
      <c r="D12" s="244" t="s">
        <v>58</v>
      </c>
      <c r="E12" s="245"/>
      <c r="F12" s="245"/>
      <c r="G12" s="245" t="s">
        <v>59</v>
      </c>
      <c r="H12" s="245"/>
      <c r="I12" s="245"/>
      <c r="J12" s="240" t="s">
        <v>88</v>
      </c>
      <c r="K12" s="230" t="s">
        <v>81</v>
      </c>
      <c r="L12" s="231"/>
      <c r="M12" s="231"/>
      <c r="N12" s="231"/>
      <c r="O12" s="231"/>
      <c r="P12" s="231"/>
      <c r="Q12" s="231"/>
      <c r="R12" s="232"/>
      <c r="S12" s="230" t="s">
        <v>79</v>
      </c>
      <c r="T12" s="231"/>
      <c r="U12" s="231"/>
      <c r="V12" s="231"/>
      <c r="W12" s="231"/>
      <c r="X12" s="231"/>
      <c r="Y12" s="231"/>
      <c r="Z12" s="232"/>
      <c r="AA12" s="230" t="s">
        <v>80</v>
      </c>
      <c r="AB12" s="231"/>
      <c r="AC12" s="231"/>
      <c r="AD12" s="231"/>
      <c r="AE12" s="231"/>
      <c r="AF12" s="231"/>
      <c r="AG12" s="231"/>
      <c r="AH12" s="232"/>
      <c r="AI12" s="230" t="s">
        <v>78</v>
      </c>
      <c r="AJ12" s="231"/>
      <c r="AK12" s="231"/>
      <c r="AL12" s="231"/>
      <c r="AM12" s="231"/>
      <c r="AN12" s="231"/>
      <c r="AO12" s="231"/>
      <c r="AP12" s="232"/>
      <c r="AQ12" s="230" t="s">
        <v>89</v>
      </c>
      <c r="AR12" s="231"/>
      <c r="AS12" s="231"/>
      <c r="AT12" s="231"/>
      <c r="AU12" s="231"/>
      <c r="AV12" s="231"/>
      <c r="AW12" s="231"/>
      <c r="AX12" s="232"/>
      <c r="AY12" s="230" t="s">
        <v>90</v>
      </c>
      <c r="AZ12" s="231"/>
      <c r="BA12" s="231"/>
      <c r="BB12" s="231"/>
      <c r="BC12" s="231"/>
      <c r="BD12" s="231"/>
      <c r="BE12" s="231"/>
      <c r="BF12" s="232"/>
      <c r="BG12" s="230" t="s">
        <v>132</v>
      </c>
      <c r="BH12" s="231"/>
      <c r="BI12" s="231"/>
      <c r="BJ12" s="231"/>
      <c r="BK12" s="231"/>
      <c r="BL12" s="231"/>
      <c r="BM12" s="231"/>
      <c r="BN12" s="232"/>
      <c r="BO12" s="219" t="s">
        <v>82</v>
      </c>
      <c r="BP12" s="220"/>
      <c r="BQ12" s="220"/>
      <c r="BR12" s="221"/>
      <c r="BS12" s="222" t="s">
        <v>84</v>
      </c>
      <c r="BT12" s="223"/>
      <c r="BU12" s="224" t="s">
        <v>87</v>
      </c>
    </row>
    <row r="13" spans="1:73" s="36" customFormat="1" ht="23.25" customHeight="1" thickBot="1" x14ac:dyDescent="0.3">
      <c r="A13" s="242"/>
      <c r="B13" s="242"/>
      <c r="C13" s="243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1"/>
      <c r="K13" s="230" t="s">
        <v>3</v>
      </c>
      <c r="L13" s="231"/>
      <c r="M13" s="231"/>
      <c r="N13" s="232"/>
      <c r="O13" s="230" t="s">
        <v>4</v>
      </c>
      <c r="P13" s="231"/>
      <c r="Q13" s="231"/>
      <c r="R13" s="232"/>
      <c r="S13" s="230" t="s">
        <v>3</v>
      </c>
      <c r="T13" s="231"/>
      <c r="U13" s="231"/>
      <c r="V13" s="232"/>
      <c r="W13" s="230" t="s">
        <v>4</v>
      </c>
      <c r="X13" s="231"/>
      <c r="Y13" s="231"/>
      <c r="Z13" s="232"/>
      <c r="AA13" s="230" t="s">
        <v>3</v>
      </c>
      <c r="AB13" s="231"/>
      <c r="AC13" s="231"/>
      <c r="AD13" s="232"/>
      <c r="AE13" s="230" t="s">
        <v>4</v>
      </c>
      <c r="AF13" s="231"/>
      <c r="AG13" s="231"/>
      <c r="AH13" s="232"/>
      <c r="AI13" s="230" t="s">
        <v>3</v>
      </c>
      <c r="AJ13" s="231"/>
      <c r="AK13" s="231"/>
      <c r="AL13" s="232"/>
      <c r="AM13" s="230" t="s">
        <v>4</v>
      </c>
      <c r="AN13" s="231"/>
      <c r="AO13" s="231"/>
      <c r="AP13" s="232"/>
      <c r="AQ13" s="230" t="s">
        <v>3</v>
      </c>
      <c r="AR13" s="231"/>
      <c r="AS13" s="231"/>
      <c r="AT13" s="232"/>
      <c r="AU13" s="230" t="s">
        <v>4</v>
      </c>
      <c r="AV13" s="231"/>
      <c r="AW13" s="231"/>
      <c r="AX13" s="232"/>
      <c r="AY13" s="230" t="s">
        <v>3</v>
      </c>
      <c r="AZ13" s="231"/>
      <c r="BA13" s="231"/>
      <c r="BB13" s="232"/>
      <c r="BC13" s="230" t="s">
        <v>4</v>
      </c>
      <c r="BD13" s="231"/>
      <c r="BE13" s="231"/>
      <c r="BF13" s="232"/>
      <c r="BG13" s="230" t="s">
        <v>3</v>
      </c>
      <c r="BH13" s="231"/>
      <c r="BI13" s="231"/>
      <c r="BJ13" s="232"/>
      <c r="BK13" s="230" t="s">
        <v>4</v>
      </c>
      <c r="BL13" s="231"/>
      <c r="BM13" s="231"/>
      <c r="BN13" s="232"/>
      <c r="BO13" s="216" t="s">
        <v>83</v>
      </c>
      <c r="BP13" s="217"/>
      <c r="BQ13" s="216" t="s">
        <v>5</v>
      </c>
      <c r="BR13" s="218"/>
      <c r="BS13" s="80" t="s">
        <v>85</v>
      </c>
      <c r="BT13" s="80" t="s">
        <v>86</v>
      </c>
      <c r="BU13" s="225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9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90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90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90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90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90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90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90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90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91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92"/>
      <c r="BG24" s="193"/>
      <c r="BH24" s="193"/>
      <c r="BI24" s="193"/>
      <c r="BJ24" s="193"/>
      <c r="BK24" s="193"/>
    </row>
    <row r="25" spans="1:73" x14ac:dyDescent="0.25">
      <c r="A25" s="1" t="s">
        <v>117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119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120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118</v>
      </c>
      <c r="E40" s="237" t="s">
        <v>57</v>
      </c>
      <c r="F40" s="238"/>
      <c r="G40" s="238"/>
      <c r="H40" s="238"/>
      <c r="I40" s="238"/>
      <c r="J40" s="238"/>
      <c r="K40" s="238"/>
      <c r="L40" s="239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121</v>
      </c>
    </row>
    <row r="46" spans="1:12" ht="30.75" thickBot="1" x14ac:dyDescent="0.3">
      <c r="A46" s="66" t="s">
        <v>63</v>
      </c>
      <c r="B46" s="67" t="s">
        <v>64</v>
      </c>
      <c r="E46" s="237" t="s">
        <v>65</v>
      </c>
      <c r="F46" s="238"/>
      <c r="G46" s="238"/>
      <c r="H46" s="238"/>
      <c r="I46" s="238"/>
      <c r="J46" s="238"/>
      <c r="K46" s="238"/>
      <c r="L46" s="239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42" t="s">
        <v>26</v>
      </c>
      <c r="B64" s="242" t="s">
        <v>27</v>
      </c>
      <c r="C64" s="243" t="s">
        <v>28</v>
      </c>
      <c r="D64" s="244" t="s">
        <v>58</v>
      </c>
      <c r="E64" s="245"/>
      <c r="F64" s="245"/>
      <c r="G64" s="245" t="s">
        <v>59</v>
      </c>
      <c r="H64" s="245"/>
      <c r="I64" s="245"/>
      <c r="J64" s="240" t="s">
        <v>88</v>
      </c>
      <c r="K64" s="230" t="s">
        <v>81</v>
      </c>
      <c r="L64" s="231"/>
      <c r="M64" s="231"/>
      <c r="N64" s="231"/>
      <c r="O64" s="231"/>
      <c r="P64" s="231"/>
      <c r="Q64" s="231"/>
      <c r="R64" s="232"/>
      <c r="S64" s="230" t="s">
        <v>79</v>
      </c>
      <c r="T64" s="231"/>
      <c r="U64" s="231"/>
      <c r="V64" s="231"/>
      <c r="W64" s="231"/>
      <c r="X64" s="231"/>
      <c r="Y64" s="231"/>
      <c r="Z64" s="232"/>
      <c r="AA64" s="230" t="s">
        <v>80</v>
      </c>
      <c r="AB64" s="231"/>
      <c r="AC64" s="231"/>
      <c r="AD64" s="231"/>
      <c r="AE64" s="231"/>
      <c r="AF64" s="231"/>
      <c r="AG64" s="231"/>
      <c r="AH64" s="232"/>
      <c r="AI64" s="230" t="s">
        <v>78</v>
      </c>
      <c r="AJ64" s="231"/>
      <c r="AK64" s="231"/>
      <c r="AL64" s="231"/>
      <c r="AM64" s="231"/>
      <c r="AN64" s="231"/>
      <c r="AO64" s="231"/>
      <c r="AP64" s="232"/>
      <c r="AQ64" s="230" t="s">
        <v>89</v>
      </c>
      <c r="AR64" s="231"/>
      <c r="AS64" s="231"/>
      <c r="AT64" s="231"/>
      <c r="AU64" s="231"/>
      <c r="AV64" s="231"/>
      <c r="AW64" s="231"/>
      <c r="AX64" s="232"/>
      <c r="AY64" s="230" t="s">
        <v>90</v>
      </c>
      <c r="AZ64" s="231"/>
      <c r="BA64" s="231"/>
      <c r="BB64" s="231"/>
      <c r="BC64" s="231"/>
      <c r="BD64" s="231"/>
      <c r="BE64" s="231"/>
      <c r="BF64" s="232"/>
      <c r="BG64" s="230" t="s">
        <v>132</v>
      </c>
      <c r="BH64" s="231"/>
      <c r="BI64" s="231"/>
      <c r="BJ64" s="231"/>
      <c r="BK64" s="231"/>
      <c r="BL64" s="231"/>
      <c r="BM64" s="231"/>
      <c r="BN64" s="232"/>
      <c r="BO64" s="219" t="s">
        <v>82</v>
      </c>
      <c r="BP64" s="220"/>
      <c r="BQ64" s="220"/>
      <c r="BR64" s="221"/>
      <c r="BS64" s="222" t="s">
        <v>84</v>
      </c>
      <c r="BT64" s="223"/>
      <c r="BU64" s="224" t="s">
        <v>87</v>
      </c>
    </row>
    <row r="65" spans="1:73" s="36" customFormat="1" ht="23.25" customHeight="1" thickBot="1" x14ac:dyDescent="0.3">
      <c r="A65" s="242"/>
      <c r="B65" s="242"/>
      <c r="C65" s="243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41"/>
      <c r="K65" s="230" t="s">
        <v>3</v>
      </c>
      <c r="L65" s="231"/>
      <c r="M65" s="231"/>
      <c r="N65" s="232"/>
      <c r="O65" s="230" t="s">
        <v>4</v>
      </c>
      <c r="P65" s="231"/>
      <c r="Q65" s="231"/>
      <c r="R65" s="232"/>
      <c r="S65" s="230" t="s">
        <v>3</v>
      </c>
      <c r="T65" s="231"/>
      <c r="U65" s="231"/>
      <c r="V65" s="232"/>
      <c r="W65" s="230" t="s">
        <v>4</v>
      </c>
      <c r="X65" s="231"/>
      <c r="Y65" s="231"/>
      <c r="Z65" s="232"/>
      <c r="AA65" s="230" t="s">
        <v>3</v>
      </c>
      <c r="AB65" s="231"/>
      <c r="AC65" s="231"/>
      <c r="AD65" s="232"/>
      <c r="AE65" s="230" t="s">
        <v>4</v>
      </c>
      <c r="AF65" s="231"/>
      <c r="AG65" s="231"/>
      <c r="AH65" s="232"/>
      <c r="AI65" s="230" t="s">
        <v>3</v>
      </c>
      <c r="AJ65" s="231"/>
      <c r="AK65" s="231"/>
      <c r="AL65" s="232"/>
      <c r="AM65" s="230" t="s">
        <v>4</v>
      </c>
      <c r="AN65" s="231"/>
      <c r="AO65" s="231"/>
      <c r="AP65" s="232"/>
      <c r="AQ65" s="230" t="s">
        <v>3</v>
      </c>
      <c r="AR65" s="231"/>
      <c r="AS65" s="231"/>
      <c r="AT65" s="232"/>
      <c r="AU65" s="230" t="s">
        <v>4</v>
      </c>
      <c r="AV65" s="231"/>
      <c r="AW65" s="231"/>
      <c r="AX65" s="232"/>
      <c r="AY65" s="230" t="s">
        <v>3</v>
      </c>
      <c r="AZ65" s="231"/>
      <c r="BA65" s="231"/>
      <c r="BB65" s="232"/>
      <c r="BC65" s="230" t="s">
        <v>4</v>
      </c>
      <c r="BD65" s="231"/>
      <c r="BE65" s="231"/>
      <c r="BF65" s="232"/>
      <c r="BG65" s="230" t="s">
        <v>3</v>
      </c>
      <c r="BH65" s="231"/>
      <c r="BI65" s="231"/>
      <c r="BJ65" s="232"/>
      <c r="BK65" s="230" t="s">
        <v>4</v>
      </c>
      <c r="BL65" s="231"/>
      <c r="BM65" s="231"/>
      <c r="BN65" s="232"/>
      <c r="BO65" s="216" t="s">
        <v>83</v>
      </c>
      <c r="BP65" s="217"/>
      <c r="BQ65" s="216" t="s">
        <v>5</v>
      </c>
      <c r="BR65" s="218"/>
      <c r="BS65" s="80" t="s">
        <v>85</v>
      </c>
      <c r="BT65" s="80" t="s">
        <v>86</v>
      </c>
      <c r="BU65" s="225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9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90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90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90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90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90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90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90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90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91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92"/>
      <c r="BG76" s="193"/>
      <c r="BH76" s="193"/>
      <c r="BI76" s="193"/>
      <c r="BJ76" s="193"/>
      <c r="BK76" s="193"/>
    </row>
    <row r="77" spans="1:73" x14ac:dyDescent="0.25">
      <c r="A77" s="1" t="s">
        <v>122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123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124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125</v>
      </c>
      <c r="E92" s="237" t="s">
        <v>57</v>
      </c>
      <c r="F92" s="238"/>
      <c r="G92" s="238"/>
      <c r="H92" s="238"/>
      <c r="I92" s="238"/>
      <c r="J92" s="238"/>
      <c r="K92" s="238"/>
      <c r="L92" s="239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126</v>
      </c>
    </row>
    <row r="98" spans="1:12" ht="30.75" thickBot="1" x14ac:dyDescent="0.3">
      <c r="A98" s="66" t="s">
        <v>63</v>
      </c>
      <c r="B98" s="67" t="s">
        <v>64</v>
      </c>
      <c r="E98" s="237" t="s">
        <v>65</v>
      </c>
      <c r="F98" s="238"/>
      <c r="G98" s="238"/>
      <c r="H98" s="238"/>
      <c r="I98" s="238"/>
      <c r="J98" s="238"/>
      <c r="K98" s="238"/>
      <c r="L98" s="239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42" t="s">
        <v>26</v>
      </c>
      <c r="B116" s="242" t="s">
        <v>27</v>
      </c>
      <c r="C116" s="243" t="s">
        <v>28</v>
      </c>
      <c r="D116" s="244" t="s">
        <v>58</v>
      </c>
      <c r="E116" s="245"/>
      <c r="F116" s="245"/>
      <c r="G116" s="245" t="s">
        <v>59</v>
      </c>
      <c r="H116" s="245"/>
      <c r="I116" s="245"/>
      <c r="J116" s="240" t="s">
        <v>88</v>
      </c>
      <c r="K116" s="230" t="s">
        <v>81</v>
      </c>
      <c r="L116" s="231"/>
      <c r="M116" s="231"/>
      <c r="N116" s="231"/>
      <c r="O116" s="231"/>
      <c r="P116" s="231"/>
      <c r="Q116" s="231"/>
      <c r="R116" s="232"/>
      <c r="S116" s="230" t="s">
        <v>79</v>
      </c>
      <c r="T116" s="231"/>
      <c r="U116" s="231"/>
      <c r="V116" s="231"/>
      <c r="W116" s="231"/>
      <c r="X116" s="231"/>
      <c r="Y116" s="231"/>
      <c r="Z116" s="232"/>
      <c r="AA116" s="230" t="s">
        <v>80</v>
      </c>
      <c r="AB116" s="231"/>
      <c r="AC116" s="231"/>
      <c r="AD116" s="231"/>
      <c r="AE116" s="231"/>
      <c r="AF116" s="231"/>
      <c r="AG116" s="231"/>
      <c r="AH116" s="232"/>
      <c r="AI116" s="230" t="s">
        <v>78</v>
      </c>
      <c r="AJ116" s="231"/>
      <c r="AK116" s="231"/>
      <c r="AL116" s="231"/>
      <c r="AM116" s="231"/>
      <c r="AN116" s="231"/>
      <c r="AO116" s="231"/>
      <c r="AP116" s="232"/>
      <c r="AQ116" s="230" t="s">
        <v>89</v>
      </c>
      <c r="AR116" s="231"/>
      <c r="AS116" s="231"/>
      <c r="AT116" s="231"/>
      <c r="AU116" s="231"/>
      <c r="AV116" s="231"/>
      <c r="AW116" s="231"/>
      <c r="AX116" s="232"/>
      <c r="AY116" s="230" t="s">
        <v>90</v>
      </c>
      <c r="AZ116" s="231"/>
      <c r="BA116" s="231"/>
      <c r="BB116" s="231"/>
      <c r="BC116" s="231"/>
      <c r="BD116" s="231"/>
      <c r="BE116" s="231"/>
      <c r="BF116" s="232"/>
      <c r="BG116" s="230" t="s">
        <v>132</v>
      </c>
      <c r="BH116" s="231"/>
      <c r="BI116" s="231"/>
      <c r="BJ116" s="231"/>
      <c r="BK116" s="231"/>
      <c r="BL116" s="231"/>
      <c r="BM116" s="231"/>
      <c r="BN116" s="232"/>
      <c r="BO116" s="219" t="s">
        <v>82</v>
      </c>
      <c r="BP116" s="220"/>
      <c r="BQ116" s="220"/>
      <c r="BR116" s="221"/>
      <c r="BS116" s="222" t="s">
        <v>84</v>
      </c>
      <c r="BT116" s="223"/>
      <c r="BU116" s="224" t="s">
        <v>87</v>
      </c>
    </row>
    <row r="117" spans="1:73" s="36" customFormat="1" ht="23.25" customHeight="1" thickBot="1" x14ac:dyDescent="0.3">
      <c r="A117" s="242"/>
      <c r="B117" s="242"/>
      <c r="C117" s="243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41"/>
      <c r="K117" s="230" t="s">
        <v>3</v>
      </c>
      <c r="L117" s="231"/>
      <c r="M117" s="231"/>
      <c r="N117" s="232"/>
      <c r="O117" s="230" t="s">
        <v>4</v>
      </c>
      <c r="P117" s="231"/>
      <c r="Q117" s="231"/>
      <c r="R117" s="232"/>
      <c r="S117" s="230" t="s">
        <v>3</v>
      </c>
      <c r="T117" s="231"/>
      <c r="U117" s="231"/>
      <c r="V117" s="232"/>
      <c r="W117" s="230" t="s">
        <v>4</v>
      </c>
      <c r="X117" s="231"/>
      <c r="Y117" s="231"/>
      <c r="Z117" s="232"/>
      <c r="AA117" s="230" t="s">
        <v>3</v>
      </c>
      <c r="AB117" s="231"/>
      <c r="AC117" s="231"/>
      <c r="AD117" s="232"/>
      <c r="AE117" s="230" t="s">
        <v>4</v>
      </c>
      <c r="AF117" s="231"/>
      <c r="AG117" s="231"/>
      <c r="AH117" s="232"/>
      <c r="AI117" s="230" t="s">
        <v>3</v>
      </c>
      <c r="AJ117" s="231"/>
      <c r="AK117" s="231"/>
      <c r="AL117" s="232"/>
      <c r="AM117" s="230" t="s">
        <v>4</v>
      </c>
      <c r="AN117" s="231"/>
      <c r="AO117" s="231"/>
      <c r="AP117" s="232"/>
      <c r="AQ117" s="230" t="s">
        <v>3</v>
      </c>
      <c r="AR117" s="231"/>
      <c r="AS117" s="231"/>
      <c r="AT117" s="232"/>
      <c r="AU117" s="230" t="s">
        <v>4</v>
      </c>
      <c r="AV117" s="231"/>
      <c r="AW117" s="231"/>
      <c r="AX117" s="232"/>
      <c r="AY117" s="230" t="s">
        <v>3</v>
      </c>
      <c r="AZ117" s="231"/>
      <c r="BA117" s="231"/>
      <c r="BB117" s="232"/>
      <c r="BC117" s="230" t="s">
        <v>4</v>
      </c>
      <c r="BD117" s="231"/>
      <c r="BE117" s="231"/>
      <c r="BF117" s="232"/>
      <c r="BG117" s="230" t="s">
        <v>3</v>
      </c>
      <c r="BH117" s="231"/>
      <c r="BI117" s="231"/>
      <c r="BJ117" s="232"/>
      <c r="BK117" s="230" t="s">
        <v>4</v>
      </c>
      <c r="BL117" s="231"/>
      <c r="BM117" s="231"/>
      <c r="BN117" s="232"/>
      <c r="BO117" s="216" t="s">
        <v>83</v>
      </c>
      <c r="BP117" s="217"/>
      <c r="BQ117" s="216" t="s">
        <v>5</v>
      </c>
      <c r="BR117" s="218"/>
      <c r="BS117" s="80" t="s">
        <v>85</v>
      </c>
      <c r="BT117" s="80" t="s">
        <v>86</v>
      </c>
      <c r="BU117" s="225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9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90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90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90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90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90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90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90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90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91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92"/>
      <c r="BG128" s="193"/>
      <c r="BH128" s="193"/>
      <c r="BI128" s="193"/>
      <c r="BJ128" s="193"/>
      <c r="BK128" s="193"/>
    </row>
    <row r="129" spans="1:12" x14ac:dyDescent="0.25">
      <c r="A129" s="1" t="s">
        <v>127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128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129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130</v>
      </c>
      <c r="E144" s="237" t="s">
        <v>57</v>
      </c>
      <c r="F144" s="238"/>
      <c r="G144" s="238"/>
      <c r="H144" s="238"/>
      <c r="I144" s="238"/>
      <c r="J144" s="238"/>
      <c r="K144" s="238"/>
      <c r="L144" s="239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131</v>
      </c>
    </row>
    <row r="150" spans="1:12" ht="30.75" thickBot="1" x14ac:dyDescent="0.3">
      <c r="A150" s="104" t="s">
        <v>63</v>
      </c>
      <c r="B150" s="105" t="s">
        <v>64</v>
      </c>
      <c r="E150" s="237" t="s">
        <v>65</v>
      </c>
      <c r="F150" s="238"/>
      <c r="G150" s="238"/>
      <c r="H150" s="238"/>
      <c r="I150" s="238"/>
      <c r="J150" s="238"/>
      <c r="K150" s="238"/>
      <c r="L150" s="239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12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12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12" x14ac:dyDescent="0.25">
      <c r="A164" s="1" t="s">
        <v>146</v>
      </c>
    </row>
    <row r="165" spans="1:12" ht="15.75" thickBot="1" x14ac:dyDescent="0.3">
      <c r="A165" s="1" t="s">
        <v>133</v>
      </c>
    </row>
    <row r="166" spans="1:12" ht="15.75" thickBot="1" x14ac:dyDescent="0.3">
      <c r="A166" s="103" t="s">
        <v>106</v>
      </c>
      <c r="B166" s="114" t="s">
        <v>149</v>
      </c>
      <c r="C166" s="114" t="s">
        <v>150</v>
      </c>
    </row>
    <row r="167" spans="1:12" x14ac:dyDescent="0.25">
      <c r="A167" s="113" t="s">
        <v>107</v>
      </c>
      <c r="B167" s="106">
        <v>1</v>
      </c>
      <c r="C167" s="107">
        <f>B167/B$169</f>
        <v>0.5</v>
      </c>
    </row>
    <row r="168" spans="1:12" ht="15.75" thickBot="1" x14ac:dyDescent="0.3">
      <c r="A168" s="13" t="s">
        <v>108</v>
      </c>
      <c r="B168" s="9">
        <v>1</v>
      </c>
      <c r="C168" s="10">
        <f>B168/B$169</f>
        <v>0.5</v>
      </c>
    </row>
    <row r="169" spans="1:12" ht="15.75" thickBot="1" x14ac:dyDescent="0.3">
      <c r="A169" s="14" t="s">
        <v>148</v>
      </c>
      <c r="B169" s="115">
        <f>SUM(B167:B168)</f>
        <v>2</v>
      </c>
      <c r="C169" s="116">
        <f>SUM(C167:C168)</f>
        <v>1</v>
      </c>
    </row>
    <row r="171" spans="1:12" x14ac:dyDescent="0.25">
      <c r="A171" s="1" t="s">
        <v>147</v>
      </c>
    </row>
    <row r="172" spans="1:12" ht="15.75" thickBot="1" x14ac:dyDescent="0.3">
      <c r="A172" s="1" t="s">
        <v>135</v>
      </c>
    </row>
    <row r="173" spans="1:12" ht="15" customHeight="1" thickBot="1" x14ac:dyDescent="0.3">
      <c r="A173" s="111" t="s">
        <v>106</v>
      </c>
      <c r="B173" s="52" t="s">
        <v>149</v>
      </c>
      <c r="C173" s="120" t="s">
        <v>150</v>
      </c>
    </row>
    <row r="174" spans="1:12" x14ac:dyDescent="0.25">
      <c r="A174" s="113" t="s">
        <v>107</v>
      </c>
      <c r="B174" s="11">
        <v>0.75</v>
      </c>
      <c r="C174" s="121">
        <f>B174/B$177</f>
        <v>0.3</v>
      </c>
    </row>
    <row r="175" spans="1:12" x14ac:dyDescent="0.25">
      <c r="A175" s="12" t="s">
        <v>108</v>
      </c>
      <c r="B175" s="12">
        <v>0.75</v>
      </c>
      <c r="C175" s="96">
        <f t="shared" ref="C175:C176" si="125">B175/B$177</f>
        <v>0.3</v>
      </c>
    </row>
    <row r="176" spans="1:12" ht="15.75" thickBot="1" x14ac:dyDescent="0.3">
      <c r="A176" s="117" t="s">
        <v>134</v>
      </c>
      <c r="B176" s="117">
        <v>1</v>
      </c>
      <c r="C176" s="97">
        <f t="shared" si="125"/>
        <v>0.4</v>
      </c>
    </row>
    <row r="177" spans="1:9" ht="15.75" thickBot="1" x14ac:dyDescent="0.3">
      <c r="A177" s="14" t="s">
        <v>148</v>
      </c>
      <c r="B177" s="118">
        <f>SUM(B174:B176)</f>
        <v>2.5</v>
      </c>
      <c r="C177" s="119">
        <f>SUM(C174:C176)</f>
        <v>1</v>
      </c>
    </row>
    <row r="179" spans="1:9" ht="15.75" thickBot="1" x14ac:dyDescent="0.3">
      <c r="A179" s="1" t="s">
        <v>170</v>
      </c>
    </row>
    <row r="180" spans="1:9" ht="15.75" thickBot="1" x14ac:dyDescent="0.3">
      <c r="A180" s="115" t="s">
        <v>174</v>
      </c>
      <c r="B180" s="116" t="s">
        <v>171</v>
      </c>
    </row>
    <row r="181" spans="1:9" x14ac:dyDescent="0.25">
      <c r="A181" s="130" t="s">
        <v>172</v>
      </c>
      <c r="B181" s="107">
        <v>0.8</v>
      </c>
    </row>
    <row r="182" spans="1:9" ht="15.75" thickBot="1" x14ac:dyDescent="0.3">
      <c r="A182" s="131" t="s">
        <v>173</v>
      </c>
      <c r="B182" s="62">
        <v>0.4</v>
      </c>
    </row>
    <row r="184" spans="1:9" x14ac:dyDescent="0.25">
      <c r="A184" s="250" t="s">
        <v>155</v>
      </c>
      <c r="B184" s="248"/>
      <c r="C184" s="248"/>
      <c r="D184" s="248"/>
      <c r="E184" s="248"/>
      <c r="F184" s="248"/>
      <c r="G184" s="248"/>
      <c r="H184" s="248"/>
      <c r="I184" s="248"/>
    </row>
    <row r="185" spans="1:9" x14ac:dyDescent="0.25">
      <c r="A185" s="251" t="s">
        <v>156</v>
      </c>
      <c r="B185" s="248"/>
      <c r="C185" s="248"/>
      <c r="D185" s="248"/>
      <c r="F185" s="251" t="s">
        <v>157</v>
      </c>
      <c r="G185" s="248"/>
      <c r="H185" s="248"/>
      <c r="I185" s="248"/>
    </row>
    <row r="187" spans="1:9" x14ac:dyDescent="0.25">
      <c r="A187" s="122" t="s">
        <v>25</v>
      </c>
      <c r="B187">
        <v>1</v>
      </c>
      <c r="C187">
        <v>0.755</v>
      </c>
      <c r="D187">
        <v>0.60299999999999998</v>
      </c>
      <c r="F187" s="122" t="s">
        <v>25</v>
      </c>
      <c r="G187">
        <v>1</v>
      </c>
      <c r="H187">
        <v>0.69599999999999995</v>
      </c>
      <c r="I187">
        <v>0.51200000000000001</v>
      </c>
    </row>
    <row r="188" spans="1:9" x14ac:dyDescent="0.25">
      <c r="B188">
        <v>0.755</v>
      </c>
      <c r="C188">
        <v>1</v>
      </c>
      <c r="D188">
        <v>0.76600000000000001</v>
      </c>
      <c r="G188">
        <v>0.69599999999999995</v>
      </c>
      <c r="H188">
        <v>1</v>
      </c>
      <c r="I188">
        <v>0.745</v>
      </c>
    </row>
    <row r="189" spans="1:9" x14ac:dyDescent="0.25">
      <c r="B189">
        <v>0.60299999999999998</v>
      </c>
      <c r="C189">
        <v>0.76600000000000001</v>
      </c>
      <c r="D189">
        <v>1</v>
      </c>
      <c r="G189">
        <v>0.51200000000000001</v>
      </c>
      <c r="H189">
        <v>0.745</v>
      </c>
      <c r="I189">
        <v>1</v>
      </c>
    </row>
    <row r="191" spans="1:9" x14ac:dyDescent="0.25">
      <c r="A191" s="122" t="s">
        <v>14</v>
      </c>
      <c r="B191">
        <v>1</v>
      </c>
      <c r="C191">
        <v>0.73</v>
      </c>
      <c r="D191">
        <v>0.82399999999999995</v>
      </c>
      <c r="F191" s="122" t="s">
        <v>14</v>
      </c>
      <c r="G191">
        <v>1</v>
      </c>
      <c r="H191">
        <v>0.69799999999999995</v>
      </c>
      <c r="I191">
        <v>0.79600000000000004</v>
      </c>
    </row>
    <row r="192" spans="1:9" x14ac:dyDescent="0.25">
      <c r="B192">
        <v>0.73</v>
      </c>
      <c r="C192">
        <v>1</v>
      </c>
      <c r="D192">
        <v>0.60599999999999998</v>
      </c>
      <c r="G192">
        <v>0.69799999999999995</v>
      </c>
      <c r="H192">
        <v>1</v>
      </c>
      <c r="I192">
        <v>0.56200000000000006</v>
      </c>
    </row>
    <row r="193" spans="1:9" x14ac:dyDescent="0.25">
      <c r="B193">
        <v>0.82399999999999995</v>
      </c>
      <c r="C193">
        <v>0.60599999999999998</v>
      </c>
      <c r="D193">
        <v>1</v>
      </c>
      <c r="G193">
        <v>0.79600000000000004</v>
      </c>
      <c r="H193">
        <v>0.56200000000000006</v>
      </c>
      <c r="I193">
        <v>1</v>
      </c>
    </row>
    <row r="195" spans="1:9" x14ac:dyDescent="0.25">
      <c r="A195" s="122" t="s">
        <v>15</v>
      </c>
      <c r="B195">
        <v>1</v>
      </c>
      <c r="C195">
        <v>0.375</v>
      </c>
      <c r="D195">
        <v>0.80500000000000005</v>
      </c>
      <c r="F195" s="122" t="s">
        <v>15</v>
      </c>
      <c r="G195">
        <v>1</v>
      </c>
      <c r="H195">
        <v>0.27100000000000002</v>
      </c>
      <c r="I195">
        <v>0.73899999999999999</v>
      </c>
    </row>
    <row r="196" spans="1:9" x14ac:dyDescent="0.25">
      <c r="B196">
        <v>0.375</v>
      </c>
      <c r="C196">
        <v>1</v>
      </c>
      <c r="D196">
        <v>0.46400000000000002</v>
      </c>
      <c r="G196">
        <v>0.27100000000000002</v>
      </c>
      <c r="H196">
        <v>1</v>
      </c>
      <c r="I196">
        <v>0.378</v>
      </c>
    </row>
    <row r="197" spans="1:9" x14ac:dyDescent="0.25">
      <c r="B197">
        <v>0.80500000000000005</v>
      </c>
      <c r="C197">
        <v>0.46400000000000002</v>
      </c>
      <c r="D197">
        <v>1</v>
      </c>
      <c r="G197">
        <v>0.73899999999999999</v>
      </c>
      <c r="H197">
        <v>0.378</v>
      </c>
      <c r="I197">
        <v>1</v>
      </c>
    </row>
    <row r="199" spans="1:9" x14ac:dyDescent="0.25">
      <c r="A199" s="122" t="s">
        <v>16</v>
      </c>
      <c r="B199">
        <v>1</v>
      </c>
      <c r="C199">
        <v>0.74299999999999999</v>
      </c>
      <c r="D199">
        <v>0.40300000000000002</v>
      </c>
      <c r="F199" s="122" t="s">
        <v>16</v>
      </c>
      <c r="G199">
        <v>1</v>
      </c>
      <c r="H199">
        <v>0.69799999999999995</v>
      </c>
      <c r="I199">
        <v>0.314</v>
      </c>
    </row>
    <row r="200" spans="1:9" x14ac:dyDescent="0.25">
      <c r="B200">
        <v>0.74299999999999999</v>
      </c>
      <c r="C200">
        <v>1</v>
      </c>
      <c r="D200">
        <v>0.29699999999999999</v>
      </c>
      <c r="G200">
        <v>0.69799999999999995</v>
      </c>
      <c r="H200">
        <v>1</v>
      </c>
      <c r="I200">
        <v>0.21299999999999999</v>
      </c>
    </row>
    <row r="201" spans="1:9" x14ac:dyDescent="0.25">
      <c r="B201">
        <v>0.40300000000000002</v>
      </c>
      <c r="C201">
        <v>0.29699999999999999</v>
      </c>
      <c r="D201">
        <v>1</v>
      </c>
      <c r="G201">
        <v>0.314</v>
      </c>
      <c r="H201">
        <v>0.21299999999999999</v>
      </c>
      <c r="I201">
        <v>1</v>
      </c>
    </row>
    <row r="203" spans="1:9" x14ac:dyDescent="0.25">
      <c r="A203" s="122" t="s">
        <v>18</v>
      </c>
      <c r="B203">
        <v>1</v>
      </c>
      <c r="C203">
        <v>0.42299999999999999</v>
      </c>
      <c r="D203">
        <v>0.61599999999999999</v>
      </c>
      <c r="F203" s="122" t="s">
        <v>18</v>
      </c>
      <c r="G203">
        <v>1</v>
      </c>
      <c r="H203">
        <v>0.32600000000000001</v>
      </c>
      <c r="I203">
        <v>0.58399999999999996</v>
      </c>
    </row>
    <row r="204" spans="1:9" x14ac:dyDescent="0.25">
      <c r="B204">
        <v>0.42299999999999999</v>
      </c>
      <c r="C204">
        <v>1</v>
      </c>
      <c r="D204">
        <v>0.217</v>
      </c>
      <c r="G204">
        <v>0.32600000000000001</v>
      </c>
      <c r="H204">
        <v>1</v>
      </c>
      <c r="I204">
        <v>0.13500000000000001</v>
      </c>
    </row>
    <row r="205" spans="1:9" x14ac:dyDescent="0.25">
      <c r="B205">
        <v>0.61599999999999999</v>
      </c>
      <c r="C205">
        <v>0.217</v>
      </c>
      <c r="D205">
        <v>1</v>
      </c>
      <c r="G205">
        <v>0.58399999999999996</v>
      </c>
      <c r="H205">
        <v>0.13500000000000001</v>
      </c>
      <c r="I205">
        <v>1</v>
      </c>
    </row>
    <row r="207" spans="1:9" x14ac:dyDescent="0.25">
      <c r="A207" s="122" t="s">
        <v>19</v>
      </c>
      <c r="B207">
        <v>1</v>
      </c>
      <c r="C207">
        <v>0.47699999999999998</v>
      </c>
      <c r="D207">
        <v>0.38900000000000001</v>
      </c>
      <c r="F207" s="122" t="s">
        <v>19</v>
      </c>
      <c r="G207">
        <v>1</v>
      </c>
      <c r="H207">
        <v>0.40899999999999997</v>
      </c>
      <c r="I207">
        <v>0.30399999999999999</v>
      </c>
    </row>
    <row r="208" spans="1:9" x14ac:dyDescent="0.25">
      <c r="B208">
        <v>0.47699999999999998</v>
      </c>
      <c r="C208">
        <v>1</v>
      </c>
      <c r="D208">
        <v>0.17899999999999999</v>
      </c>
      <c r="G208">
        <v>0.40899999999999997</v>
      </c>
      <c r="H208">
        <v>1</v>
      </c>
      <c r="I208">
        <v>0.10299999999999999</v>
      </c>
    </row>
    <row r="209" spans="1:9" x14ac:dyDescent="0.25">
      <c r="B209">
        <v>0.38900000000000001</v>
      </c>
      <c r="C209">
        <v>0.17899999999999999</v>
      </c>
      <c r="D209">
        <v>1</v>
      </c>
      <c r="G209">
        <v>0.30399999999999999</v>
      </c>
      <c r="H209">
        <v>0.10299999999999999</v>
      </c>
      <c r="I209">
        <v>1</v>
      </c>
    </row>
    <row r="211" spans="1:9" x14ac:dyDescent="0.25">
      <c r="A211" s="122" t="s">
        <v>20</v>
      </c>
      <c r="B211">
        <v>1</v>
      </c>
      <c r="C211">
        <v>0.47699999999999998</v>
      </c>
      <c r="D211">
        <v>0.61199999999999999</v>
      </c>
      <c r="F211" s="122" t="s">
        <v>20</v>
      </c>
      <c r="G211">
        <v>1</v>
      </c>
      <c r="H211">
        <v>0.40899999999999997</v>
      </c>
      <c r="I211">
        <v>0.53900000000000003</v>
      </c>
    </row>
    <row r="212" spans="1:9" x14ac:dyDescent="0.25">
      <c r="B212">
        <v>0.47699999999999998</v>
      </c>
      <c r="C212">
        <v>1</v>
      </c>
      <c r="D212">
        <v>0.29699999999999999</v>
      </c>
      <c r="G212">
        <v>0.40899999999999997</v>
      </c>
      <c r="H212">
        <v>1</v>
      </c>
      <c r="I212">
        <v>0.21299999999999999</v>
      </c>
    </row>
    <row r="213" spans="1:9" x14ac:dyDescent="0.25">
      <c r="B213">
        <v>0.61199999999999999</v>
      </c>
      <c r="C213">
        <v>0.29699999999999999</v>
      </c>
      <c r="D213">
        <v>1</v>
      </c>
      <c r="G213">
        <v>0.53900000000000003</v>
      </c>
      <c r="H213">
        <v>0.21299999999999999</v>
      </c>
      <c r="I213">
        <v>1</v>
      </c>
    </row>
    <row r="215" spans="1:9" x14ac:dyDescent="0.25">
      <c r="A215" s="122" t="s">
        <v>21</v>
      </c>
      <c r="B215">
        <v>1</v>
      </c>
      <c r="C215">
        <v>0.88400000000000001</v>
      </c>
      <c r="D215">
        <v>0.66500000000000004</v>
      </c>
      <c r="F215" s="122" t="s">
        <v>21</v>
      </c>
      <c r="G215">
        <v>1</v>
      </c>
      <c r="H215">
        <v>0.85499999999999998</v>
      </c>
      <c r="I215">
        <v>0.61299999999999999</v>
      </c>
    </row>
    <row r="216" spans="1:9" x14ac:dyDescent="0.25">
      <c r="B216">
        <v>0.88400000000000001</v>
      </c>
      <c r="C216">
        <v>1</v>
      </c>
      <c r="D216">
        <v>0.69399999999999995</v>
      </c>
      <c r="G216">
        <v>0.85499999999999998</v>
      </c>
      <c r="H216">
        <v>1</v>
      </c>
      <c r="I216">
        <v>0.66</v>
      </c>
    </row>
    <row r="217" spans="1:9" x14ac:dyDescent="0.25">
      <c r="B217">
        <v>0.66500000000000004</v>
      </c>
      <c r="C217">
        <v>0.69399999999999995</v>
      </c>
      <c r="D217">
        <v>1</v>
      </c>
      <c r="G217">
        <v>0.61299999999999999</v>
      </c>
      <c r="H217">
        <v>0.66</v>
      </c>
      <c r="I217">
        <v>1</v>
      </c>
    </row>
    <row r="219" spans="1:9" x14ac:dyDescent="0.25">
      <c r="A219" s="122" t="s">
        <v>23</v>
      </c>
      <c r="B219">
        <v>1</v>
      </c>
      <c r="C219">
        <v>0.72899999999999998</v>
      </c>
      <c r="D219">
        <v>0.61599999999999999</v>
      </c>
      <c r="F219" s="122" t="s">
        <v>23</v>
      </c>
      <c r="G219">
        <v>1</v>
      </c>
      <c r="H219">
        <v>0.64900000000000002</v>
      </c>
      <c r="I219">
        <v>0.58399999999999996</v>
      </c>
    </row>
    <row r="220" spans="1:9" x14ac:dyDescent="0.25">
      <c r="B220">
        <v>0.72899999999999998</v>
      </c>
      <c r="C220">
        <v>1</v>
      </c>
      <c r="D220">
        <v>0.42099999999999999</v>
      </c>
      <c r="G220">
        <v>0.64900000000000002</v>
      </c>
      <c r="H220">
        <v>1</v>
      </c>
      <c r="I220">
        <v>0.34399999999999997</v>
      </c>
    </row>
    <row r="221" spans="1:9" x14ac:dyDescent="0.25">
      <c r="B221">
        <v>0.61599999999999999</v>
      </c>
      <c r="C221">
        <v>0.42099999999999999</v>
      </c>
      <c r="D221">
        <v>1</v>
      </c>
      <c r="G221">
        <v>0.58399999999999996</v>
      </c>
      <c r="H221">
        <v>0.34399999999999997</v>
      </c>
      <c r="I221">
        <v>1</v>
      </c>
    </row>
    <row r="223" spans="1:9" x14ac:dyDescent="0.25">
      <c r="A223" s="122" t="s">
        <v>24</v>
      </c>
      <c r="B223">
        <v>1</v>
      </c>
      <c r="C223">
        <v>0.38</v>
      </c>
      <c r="D223">
        <v>0.60099999999999998</v>
      </c>
      <c r="F223" s="122" t="s">
        <v>24</v>
      </c>
      <c r="G223">
        <v>1</v>
      </c>
      <c r="H223">
        <v>0.29199999999999998</v>
      </c>
      <c r="I223">
        <v>0.53100000000000003</v>
      </c>
    </row>
    <row r="224" spans="1:9" x14ac:dyDescent="0.25">
      <c r="B224">
        <v>0.38</v>
      </c>
      <c r="C224">
        <v>1</v>
      </c>
      <c r="D224">
        <v>0.64200000000000002</v>
      </c>
      <c r="G224">
        <v>0.29199999999999998</v>
      </c>
      <c r="H224">
        <v>1</v>
      </c>
      <c r="I224">
        <v>0.57599999999999996</v>
      </c>
    </row>
    <row r="225" spans="1:9" x14ac:dyDescent="0.25">
      <c r="B225">
        <v>0.60099999999999998</v>
      </c>
      <c r="C225">
        <v>0.64200000000000002</v>
      </c>
      <c r="D225">
        <v>1</v>
      </c>
      <c r="G225">
        <v>0.53100000000000003</v>
      </c>
      <c r="H225">
        <v>0.57599999999999996</v>
      </c>
      <c r="I225">
        <v>1</v>
      </c>
    </row>
    <row r="227" spans="1:9" x14ac:dyDescent="0.25">
      <c r="A227" s="250" t="s">
        <v>158</v>
      </c>
      <c r="B227" s="248"/>
      <c r="C227" s="248"/>
      <c r="D227" s="248"/>
      <c r="E227" s="248"/>
      <c r="F227" s="248"/>
      <c r="G227" s="248"/>
      <c r="H227" s="248"/>
      <c r="I227" s="248"/>
    </row>
    <row r="228" spans="1:9" x14ac:dyDescent="0.25">
      <c r="A228" s="251" t="s">
        <v>175</v>
      </c>
      <c r="B228" s="248"/>
      <c r="C228" s="248"/>
      <c r="D228" s="248"/>
      <c r="F228" s="251" t="s">
        <v>176</v>
      </c>
      <c r="G228" s="248"/>
      <c r="H228" s="248"/>
      <c r="I228" s="248"/>
    </row>
    <row r="229" spans="1:9" s="132" customFormat="1" ht="30" x14ac:dyDescent="0.25">
      <c r="A229" s="133" t="s">
        <v>113</v>
      </c>
      <c r="B229" s="133" t="s">
        <v>107</v>
      </c>
      <c r="C229" s="133" t="s">
        <v>108</v>
      </c>
      <c r="D229" s="133" t="s">
        <v>134</v>
      </c>
      <c r="F229" s="133" t="s">
        <v>113</v>
      </c>
      <c r="G229" s="133" t="s">
        <v>107</v>
      </c>
      <c r="H229" s="133" t="s">
        <v>108</v>
      </c>
      <c r="I229" s="133" t="s">
        <v>134</v>
      </c>
    </row>
    <row r="230" spans="1:9" x14ac:dyDescent="0.25">
      <c r="A230" s="2" t="s">
        <v>25</v>
      </c>
      <c r="B230" s="2">
        <f>(C187+D187)/2</f>
        <v>0.67900000000000005</v>
      </c>
      <c r="C230" s="2">
        <f>(B188+D188)/2</f>
        <v>0.76049999999999995</v>
      </c>
      <c r="D230" s="2">
        <f>(B189+C189)/2</f>
        <v>0.6845</v>
      </c>
      <c r="F230" s="2" t="s">
        <v>25</v>
      </c>
      <c r="G230" s="2">
        <f>(H187+I187)/2</f>
        <v>0.60399999999999998</v>
      </c>
      <c r="H230" s="2">
        <f>(G188+I188)/2</f>
        <v>0.72049999999999992</v>
      </c>
      <c r="I230" s="2">
        <f>(G189+H189)/2</f>
        <v>0.62850000000000006</v>
      </c>
    </row>
    <row r="231" spans="1:9" x14ac:dyDescent="0.25">
      <c r="A231" s="2" t="s">
        <v>14</v>
      </c>
      <c r="B231" s="2">
        <f>(C191+D191)/2</f>
        <v>0.77699999999999991</v>
      </c>
      <c r="C231" s="2">
        <f>(B192+D192)/2</f>
        <v>0.66799999999999993</v>
      </c>
      <c r="D231" s="2">
        <f>(B193+C193)/2</f>
        <v>0.71499999999999997</v>
      </c>
      <c r="F231" s="2" t="s">
        <v>14</v>
      </c>
      <c r="G231" s="2">
        <f>(H191+I191)/2</f>
        <v>0.747</v>
      </c>
      <c r="H231" s="2">
        <f>(G192+I192)/2</f>
        <v>0.63</v>
      </c>
      <c r="I231" s="2">
        <f>(G193+H193)/2</f>
        <v>0.67900000000000005</v>
      </c>
    </row>
    <row r="232" spans="1:9" x14ac:dyDescent="0.25">
      <c r="A232" s="2" t="s">
        <v>15</v>
      </c>
      <c r="B232" s="2">
        <f>(C195+D195)/2</f>
        <v>0.59000000000000008</v>
      </c>
      <c r="C232" s="2">
        <f>(B196+D196)/2</f>
        <v>0.41949999999999998</v>
      </c>
      <c r="D232" s="2">
        <f>(B197+C197)/2</f>
        <v>0.63450000000000006</v>
      </c>
      <c r="F232" s="2" t="s">
        <v>15</v>
      </c>
      <c r="G232" s="2">
        <f>(H195+I195)/2</f>
        <v>0.505</v>
      </c>
      <c r="H232" s="2">
        <f>(G196+I196)/2</f>
        <v>0.32450000000000001</v>
      </c>
      <c r="I232" s="2">
        <f>(G197+H197)/2</f>
        <v>0.5585</v>
      </c>
    </row>
    <row r="233" spans="1:9" x14ac:dyDescent="0.25">
      <c r="A233" s="2" t="s">
        <v>16</v>
      </c>
      <c r="B233" s="2">
        <f>(C199+D199)/2</f>
        <v>0.57299999999999995</v>
      </c>
      <c r="C233" s="2">
        <f>(B200+D200)/2</f>
        <v>0.52</v>
      </c>
      <c r="D233" s="2">
        <f>(B201+C201)/2</f>
        <v>0.35</v>
      </c>
      <c r="F233" s="2" t="s">
        <v>16</v>
      </c>
      <c r="G233" s="2">
        <f>(H199+I199)/2</f>
        <v>0.50600000000000001</v>
      </c>
      <c r="H233" s="2">
        <f>(G200+I200)/2</f>
        <v>0.45549999999999996</v>
      </c>
      <c r="I233" s="2">
        <f>(G201+H201)/2</f>
        <v>0.26350000000000001</v>
      </c>
    </row>
    <row r="234" spans="1:9" x14ac:dyDescent="0.25">
      <c r="A234" s="2" t="s">
        <v>18</v>
      </c>
      <c r="B234" s="2">
        <f>(C203+D203)/2</f>
        <v>0.51949999999999996</v>
      </c>
      <c r="C234" s="2">
        <f>(B204+D204)/2</f>
        <v>0.32</v>
      </c>
      <c r="D234" s="2">
        <f>(B205+C205)/2</f>
        <v>0.41649999999999998</v>
      </c>
      <c r="F234" s="2" t="s">
        <v>18</v>
      </c>
      <c r="G234" s="2">
        <f>(H203+I203)/2</f>
        <v>0.45499999999999996</v>
      </c>
      <c r="H234" s="2">
        <f>(G204+I204)/2</f>
        <v>0.23050000000000001</v>
      </c>
      <c r="I234" s="2">
        <f>(G205+H205)/2</f>
        <v>0.35949999999999999</v>
      </c>
    </row>
    <row r="235" spans="1:9" x14ac:dyDescent="0.25">
      <c r="A235" s="2" t="s">
        <v>19</v>
      </c>
      <c r="B235" s="2">
        <f>(C207+D207)/2</f>
        <v>0.433</v>
      </c>
      <c r="C235" s="2">
        <f>(B208+D208)/2</f>
        <v>0.32799999999999996</v>
      </c>
      <c r="D235" s="2">
        <f>(B209+C209)/2</f>
        <v>0.28400000000000003</v>
      </c>
      <c r="F235" s="2" t="s">
        <v>19</v>
      </c>
      <c r="G235" s="2">
        <f>(H207+I207)/2</f>
        <v>0.35649999999999998</v>
      </c>
      <c r="H235" s="2">
        <f>(G208+I208)/2</f>
        <v>0.25600000000000001</v>
      </c>
      <c r="I235" s="2">
        <f>(G209+H209)/2</f>
        <v>0.20349999999999999</v>
      </c>
    </row>
    <row r="236" spans="1:9" x14ac:dyDescent="0.25">
      <c r="A236" s="2" t="s">
        <v>20</v>
      </c>
      <c r="B236" s="2">
        <f>(C211+D211)/2</f>
        <v>0.54449999999999998</v>
      </c>
      <c r="C236" s="2">
        <f>(B212+D212)/2</f>
        <v>0.38700000000000001</v>
      </c>
      <c r="D236" s="2">
        <f>(B213+C213)/2</f>
        <v>0.45450000000000002</v>
      </c>
      <c r="F236" s="2" t="s">
        <v>20</v>
      </c>
      <c r="G236" s="2">
        <f>(H211+I211)/2</f>
        <v>0.47399999999999998</v>
      </c>
      <c r="H236" s="2">
        <f>(G212+I212)/2</f>
        <v>0.311</v>
      </c>
      <c r="I236" s="2">
        <f>(G213+H213)/2</f>
        <v>0.376</v>
      </c>
    </row>
    <row r="237" spans="1:9" x14ac:dyDescent="0.25">
      <c r="A237" s="2" t="s">
        <v>21</v>
      </c>
      <c r="B237" s="2">
        <f>(C215+D215)/2</f>
        <v>0.77449999999999997</v>
      </c>
      <c r="C237" s="2">
        <f>(B216+D216)/2</f>
        <v>0.78899999999999992</v>
      </c>
      <c r="D237" s="2">
        <f>(B217+C217)/2</f>
        <v>0.67949999999999999</v>
      </c>
      <c r="F237" s="2" t="s">
        <v>21</v>
      </c>
      <c r="G237" s="2">
        <f>(H215+I215)/2</f>
        <v>0.73399999999999999</v>
      </c>
      <c r="H237" s="2">
        <f>(G216+I216)/2</f>
        <v>0.75750000000000006</v>
      </c>
      <c r="I237" s="2">
        <f>(G217+H217)/2</f>
        <v>0.63650000000000007</v>
      </c>
    </row>
    <row r="238" spans="1:9" x14ac:dyDescent="0.25">
      <c r="A238" s="2" t="s">
        <v>23</v>
      </c>
      <c r="B238" s="2">
        <f>(C219+D219)/2</f>
        <v>0.67249999999999999</v>
      </c>
      <c r="C238" s="2">
        <f>(B220+D220)/2</f>
        <v>0.57499999999999996</v>
      </c>
      <c r="D238" s="2">
        <f>(B221+C221)/2</f>
        <v>0.51849999999999996</v>
      </c>
      <c r="F238" s="2" t="s">
        <v>23</v>
      </c>
      <c r="G238" s="2">
        <f>(H219+I219)/2</f>
        <v>0.61650000000000005</v>
      </c>
      <c r="H238" s="2">
        <f>(G220+I220)/2</f>
        <v>0.4965</v>
      </c>
      <c r="I238" s="2">
        <f>(G221+H221)/2</f>
        <v>0.46399999999999997</v>
      </c>
    </row>
    <row r="239" spans="1:9" x14ac:dyDescent="0.25">
      <c r="A239" s="2" t="s">
        <v>24</v>
      </c>
      <c r="B239" s="2">
        <f>(C223+D223)/2</f>
        <v>0.49049999999999999</v>
      </c>
      <c r="C239" s="2">
        <f>(B224+D224)/2</f>
        <v>0.51100000000000001</v>
      </c>
      <c r="D239" s="2">
        <f>(B225+C225)/2</f>
        <v>0.62149999999999994</v>
      </c>
      <c r="F239" s="2" t="s">
        <v>24</v>
      </c>
      <c r="G239" s="2">
        <f>(H223+I223)/2</f>
        <v>0.41149999999999998</v>
      </c>
      <c r="H239" s="2">
        <f>(G224+I224)/2</f>
        <v>0.43399999999999994</v>
      </c>
      <c r="I239" s="2">
        <f>(G225+H225)/2</f>
        <v>0.55349999999999999</v>
      </c>
    </row>
    <row r="241" spans="1:5" x14ac:dyDescent="0.25">
      <c r="A241" s="166" t="s">
        <v>224</v>
      </c>
    </row>
    <row r="242" spans="1:5" x14ac:dyDescent="0.25">
      <c r="A242" s="133" t="s">
        <v>113</v>
      </c>
      <c r="B242" s="133" t="s">
        <v>107</v>
      </c>
      <c r="C242" s="133" t="s">
        <v>108</v>
      </c>
      <c r="D242" s="133" t="s">
        <v>134</v>
      </c>
      <c r="E242" s="132"/>
    </row>
    <row r="243" spans="1:5" x14ac:dyDescent="0.25">
      <c r="A243" s="2" t="s">
        <v>25</v>
      </c>
      <c r="B243" s="2">
        <f>(B230+G230)/2</f>
        <v>0.64149999999999996</v>
      </c>
      <c r="C243" s="2">
        <f t="shared" ref="C243:D252" si="126">(C230+H230)/2</f>
        <v>0.74049999999999994</v>
      </c>
      <c r="D243" s="2">
        <f t="shared" si="126"/>
        <v>0.65650000000000008</v>
      </c>
    </row>
    <row r="244" spans="1:5" x14ac:dyDescent="0.25">
      <c r="A244" s="2" t="s">
        <v>14</v>
      </c>
      <c r="B244" s="2">
        <f t="shared" ref="B244:B252" si="127">(B231+G231)/2</f>
        <v>0.76200000000000001</v>
      </c>
      <c r="C244" s="2">
        <f t="shared" si="126"/>
        <v>0.64900000000000002</v>
      </c>
      <c r="D244" s="2">
        <f t="shared" si="126"/>
        <v>0.69700000000000006</v>
      </c>
    </row>
    <row r="245" spans="1:5" x14ac:dyDescent="0.25">
      <c r="A245" s="2" t="s">
        <v>15</v>
      </c>
      <c r="B245" s="2">
        <f t="shared" si="127"/>
        <v>0.5475000000000001</v>
      </c>
      <c r="C245" s="2">
        <f t="shared" si="126"/>
        <v>0.372</v>
      </c>
      <c r="D245" s="2">
        <f t="shared" si="126"/>
        <v>0.59650000000000003</v>
      </c>
    </row>
    <row r="246" spans="1:5" x14ac:dyDescent="0.25">
      <c r="A246" s="2" t="s">
        <v>16</v>
      </c>
      <c r="B246" s="2">
        <f t="shared" si="127"/>
        <v>0.53949999999999998</v>
      </c>
      <c r="C246" s="2">
        <f t="shared" si="126"/>
        <v>0.48775000000000002</v>
      </c>
      <c r="D246" s="2">
        <f t="shared" si="126"/>
        <v>0.30674999999999997</v>
      </c>
    </row>
    <row r="247" spans="1:5" x14ac:dyDescent="0.25">
      <c r="A247" s="2" t="s">
        <v>18</v>
      </c>
      <c r="B247" s="2">
        <f t="shared" si="127"/>
        <v>0.48724999999999996</v>
      </c>
      <c r="C247" s="2">
        <f t="shared" si="126"/>
        <v>0.27524999999999999</v>
      </c>
      <c r="D247" s="2">
        <f t="shared" si="126"/>
        <v>0.38800000000000001</v>
      </c>
    </row>
    <row r="248" spans="1:5" x14ac:dyDescent="0.25">
      <c r="A248" s="2" t="s">
        <v>19</v>
      </c>
      <c r="B248" s="2">
        <f t="shared" si="127"/>
        <v>0.39474999999999999</v>
      </c>
      <c r="C248" s="2">
        <f t="shared" si="126"/>
        <v>0.29199999999999998</v>
      </c>
      <c r="D248" s="2">
        <f t="shared" si="126"/>
        <v>0.24375000000000002</v>
      </c>
    </row>
    <row r="249" spans="1:5" x14ac:dyDescent="0.25">
      <c r="A249" s="2" t="s">
        <v>20</v>
      </c>
      <c r="B249" s="2">
        <f t="shared" si="127"/>
        <v>0.50924999999999998</v>
      </c>
      <c r="C249" s="2">
        <f t="shared" si="126"/>
        <v>0.34899999999999998</v>
      </c>
      <c r="D249" s="2">
        <f t="shared" si="126"/>
        <v>0.41525000000000001</v>
      </c>
    </row>
    <row r="250" spans="1:5" x14ac:dyDescent="0.25">
      <c r="A250" s="2" t="s">
        <v>21</v>
      </c>
      <c r="B250" s="2">
        <f t="shared" si="127"/>
        <v>0.75424999999999998</v>
      </c>
      <c r="C250" s="2">
        <f t="shared" si="126"/>
        <v>0.77324999999999999</v>
      </c>
      <c r="D250" s="2">
        <f t="shared" si="126"/>
        <v>0.65800000000000003</v>
      </c>
    </row>
    <row r="251" spans="1:5" x14ac:dyDescent="0.25">
      <c r="A251" s="2" t="s">
        <v>23</v>
      </c>
      <c r="B251" s="2">
        <f t="shared" si="127"/>
        <v>0.64450000000000007</v>
      </c>
      <c r="C251" s="2">
        <f t="shared" si="126"/>
        <v>0.53574999999999995</v>
      </c>
      <c r="D251" s="2">
        <f t="shared" si="126"/>
        <v>0.49124999999999996</v>
      </c>
    </row>
    <row r="252" spans="1:5" x14ac:dyDescent="0.25">
      <c r="A252" s="2" t="s">
        <v>24</v>
      </c>
      <c r="B252" s="2">
        <f t="shared" si="127"/>
        <v>0.45099999999999996</v>
      </c>
      <c r="C252" s="2">
        <f t="shared" si="126"/>
        <v>0.47249999999999998</v>
      </c>
      <c r="D252" s="2">
        <f t="shared" si="126"/>
        <v>0.58749999999999991</v>
      </c>
    </row>
    <row r="254" spans="1:5" ht="15" customHeight="1" x14ac:dyDescent="0.25">
      <c r="A254" s="166" t="s">
        <v>177</v>
      </c>
      <c r="B254" s="166"/>
      <c r="C254" s="166"/>
      <c r="D254" s="166"/>
      <c r="E254" s="166"/>
    </row>
    <row r="255" spans="1:5" x14ac:dyDescent="0.25">
      <c r="A255" s="86" t="s">
        <v>113</v>
      </c>
      <c r="B255" s="3" t="s">
        <v>107</v>
      </c>
      <c r="C255" s="3" t="s">
        <v>108</v>
      </c>
      <c r="D255" s="3" t="s">
        <v>134</v>
      </c>
      <c r="E255" s="126" t="s">
        <v>159</v>
      </c>
    </row>
    <row r="256" spans="1:5" x14ac:dyDescent="0.25">
      <c r="A256" s="41" t="s">
        <v>25</v>
      </c>
      <c r="B256" s="123">
        <f>B243/SUM($B243:$D243)</f>
        <v>0.31469217561932794</v>
      </c>
      <c r="C256" s="123">
        <f t="shared" ref="C256:D256" si="128">C243/SUM($B243:$D243)</f>
        <v>0.36325729703213144</v>
      </c>
      <c r="D256" s="123">
        <f t="shared" si="128"/>
        <v>0.32205052734854062</v>
      </c>
      <c r="E256" s="125">
        <f>SUM(B256:D256)</f>
        <v>1</v>
      </c>
    </row>
    <row r="257" spans="1:5" x14ac:dyDescent="0.25">
      <c r="A257" s="41" t="s">
        <v>14</v>
      </c>
      <c r="B257" s="123">
        <f t="shared" ref="B257:D257" si="129">B244/SUM($B244:$D244)</f>
        <v>0.36148007590132825</v>
      </c>
      <c r="C257" s="123">
        <f t="shared" si="129"/>
        <v>0.30787476280834913</v>
      </c>
      <c r="D257" s="123">
        <f t="shared" si="129"/>
        <v>0.33064516129032262</v>
      </c>
      <c r="E257" s="125">
        <f t="shared" ref="E257:E265" si="130">SUM(B257:D257)</f>
        <v>1</v>
      </c>
    </row>
    <row r="258" spans="1:5" x14ac:dyDescent="0.25">
      <c r="A258" s="41" t="s">
        <v>15</v>
      </c>
      <c r="B258" s="123">
        <f t="shared" ref="B258:D258" si="131">B245/SUM($B245:$D245)</f>
        <v>0.36114775725593673</v>
      </c>
      <c r="C258" s="123">
        <f t="shared" si="131"/>
        <v>0.24538258575197888</v>
      </c>
      <c r="D258" s="123">
        <f t="shared" si="131"/>
        <v>0.39346965699208447</v>
      </c>
      <c r="E258" s="125">
        <f t="shared" si="130"/>
        <v>1</v>
      </c>
    </row>
    <row r="259" spans="1:5" x14ac:dyDescent="0.25">
      <c r="A259" s="41" t="s">
        <v>16</v>
      </c>
      <c r="B259" s="123">
        <f t="shared" ref="B259:D259" si="132">B246/SUM($B246:$D246)</f>
        <v>0.40442278860569714</v>
      </c>
      <c r="C259" s="123">
        <f t="shared" si="132"/>
        <v>0.36562968515742128</v>
      </c>
      <c r="D259" s="123">
        <f t="shared" si="132"/>
        <v>0.22994752623688153</v>
      </c>
      <c r="E259" s="125">
        <f t="shared" si="130"/>
        <v>1</v>
      </c>
    </row>
    <row r="260" spans="1:5" x14ac:dyDescent="0.25">
      <c r="A260" s="41" t="s">
        <v>18</v>
      </c>
      <c r="B260" s="123">
        <f t="shared" ref="B260:D260" si="133">B247/SUM($B247:$D247)</f>
        <v>0.42351151673185566</v>
      </c>
      <c r="C260" s="123">
        <f t="shared" si="133"/>
        <v>0.2392438070404172</v>
      </c>
      <c r="D260" s="123">
        <f t="shared" si="133"/>
        <v>0.33724467622772708</v>
      </c>
      <c r="E260" s="125">
        <f t="shared" si="130"/>
        <v>1</v>
      </c>
    </row>
    <row r="261" spans="1:5" x14ac:dyDescent="0.25">
      <c r="A261" s="41" t="s">
        <v>19</v>
      </c>
      <c r="B261" s="123">
        <f t="shared" ref="B261:D261" si="134">B248/SUM($B248:$D248)</f>
        <v>0.42423428264373991</v>
      </c>
      <c r="C261" s="123">
        <f t="shared" si="134"/>
        <v>0.31380977968833956</v>
      </c>
      <c r="D261" s="123">
        <f t="shared" si="134"/>
        <v>0.26195593766792052</v>
      </c>
      <c r="E261" s="125">
        <f t="shared" si="130"/>
        <v>1</v>
      </c>
    </row>
    <row r="262" spans="1:5" x14ac:dyDescent="0.25">
      <c r="A262" s="41" t="s">
        <v>20</v>
      </c>
      <c r="B262" s="123">
        <f t="shared" ref="B262:D262" si="135">B249/SUM($B249:$D249)</f>
        <v>0.39988221436984689</v>
      </c>
      <c r="C262" s="123">
        <f t="shared" si="135"/>
        <v>0.27404789948959563</v>
      </c>
      <c r="D262" s="123">
        <f t="shared" si="135"/>
        <v>0.32606988614055754</v>
      </c>
      <c r="E262" s="125">
        <f t="shared" si="130"/>
        <v>1</v>
      </c>
    </row>
    <row r="263" spans="1:5" x14ac:dyDescent="0.25">
      <c r="A263" s="41" t="s">
        <v>21</v>
      </c>
      <c r="B263" s="123">
        <f t="shared" ref="B263:D263" si="136">B250/SUM($B250:$D250)</f>
        <v>0.34511553420269964</v>
      </c>
      <c r="C263" s="123">
        <f t="shared" si="136"/>
        <v>0.35380919698009611</v>
      </c>
      <c r="D263" s="123">
        <f t="shared" si="136"/>
        <v>0.30107526881720437</v>
      </c>
      <c r="E263" s="125">
        <f t="shared" si="130"/>
        <v>1</v>
      </c>
    </row>
    <row r="264" spans="1:5" x14ac:dyDescent="0.25">
      <c r="A264" s="41" t="s">
        <v>23</v>
      </c>
      <c r="B264" s="123">
        <f t="shared" ref="B264:D264" si="137">B251/SUM($B251:$D251)</f>
        <v>0.3855818127430452</v>
      </c>
      <c r="C264" s="123">
        <f t="shared" si="137"/>
        <v>0.32052049057732573</v>
      </c>
      <c r="D264" s="123">
        <f t="shared" si="137"/>
        <v>0.29389769667962906</v>
      </c>
      <c r="E264" s="125">
        <f t="shared" si="130"/>
        <v>1</v>
      </c>
    </row>
    <row r="265" spans="1:5" x14ac:dyDescent="0.25">
      <c r="A265" s="41" t="s">
        <v>24</v>
      </c>
      <c r="B265" s="123">
        <f t="shared" ref="B265:D265" si="138">B252/SUM($B252:$D252)</f>
        <v>0.29847782925215088</v>
      </c>
      <c r="C265" s="123">
        <f t="shared" si="138"/>
        <v>0.3127068166776969</v>
      </c>
      <c r="D265" s="123">
        <f t="shared" si="138"/>
        <v>0.38881535407015216</v>
      </c>
      <c r="E265" s="125">
        <f t="shared" si="130"/>
        <v>1</v>
      </c>
    </row>
    <row r="266" spans="1:5" x14ac:dyDescent="0.25">
      <c r="A266" s="122"/>
    </row>
    <row r="267" spans="1:5" ht="15" customHeight="1" x14ac:dyDescent="0.25">
      <c r="A267" s="166" t="s">
        <v>161</v>
      </c>
      <c r="B267" s="166"/>
      <c r="C267" s="166"/>
      <c r="D267" s="166"/>
      <c r="E267" s="166"/>
    </row>
    <row r="268" spans="1:5" x14ac:dyDescent="0.25">
      <c r="A268" s="86" t="s">
        <v>113</v>
      </c>
      <c r="B268" s="3" t="s">
        <v>107</v>
      </c>
      <c r="C268" s="3" t="s">
        <v>108</v>
      </c>
      <c r="D268" s="3" t="s">
        <v>134</v>
      </c>
      <c r="E268" s="126" t="s">
        <v>159</v>
      </c>
    </row>
    <row r="269" spans="1:5" x14ac:dyDescent="0.25">
      <c r="A269" s="41" t="s">
        <v>25</v>
      </c>
      <c r="B269" s="123">
        <f t="shared" ref="B269:B278" si="139">$B$182*$C$174+(1-$B$182)*B256</f>
        <v>0.30881530537159674</v>
      </c>
      <c r="C269" s="123">
        <f t="shared" ref="C269:C278" si="140">$B$182*$C$175+(1-$B$182)*C256</f>
        <v>0.33795437821927887</v>
      </c>
      <c r="D269" s="123">
        <f t="shared" ref="D269:D278" si="141">$B$182*$C$176+(1-$B$182)*D256</f>
        <v>0.35323031640912439</v>
      </c>
      <c r="E269" s="125">
        <f>SUM(B269:D269)</f>
        <v>1</v>
      </c>
    </row>
    <row r="270" spans="1:5" x14ac:dyDescent="0.25">
      <c r="A270" s="41" t="s">
        <v>14</v>
      </c>
      <c r="B270" s="123">
        <f t="shared" si="139"/>
        <v>0.33688804554079693</v>
      </c>
      <c r="C270" s="123">
        <f t="shared" si="140"/>
        <v>0.30472485768500945</v>
      </c>
      <c r="D270" s="123">
        <f t="shared" si="141"/>
        <v>0.35838709677419356</v>
      </c>
      <c r="E270" s="125">
        <f t="shared" ref="E270:E278" si="142">SUM(B270:D270)</f>
        <v>1</v>
      </c>
    </row>
    <row r="271" spans="1:5" x14ac:dyDescent="0.25">
      <c r="A271" s="41" t="s">
        <v>15</v>
      </c>
      <c r="B271" s="123">
        <f t="shared" si="139"/>
        <v>0.33668865435356199</v>
      </c>
      <c r="C271" s="123">
        <f t="shared" si="140"/>
        <v>0.26722955145118732</v>
      </c>
      <c r="D271" s="123">
        <f t="shared" si="141"/>
        <v>0.39608179419525069</v>
      </c>
      <c r="E271" s="125">
        <f t="shared" si="142"/>
        <v>1</v>
      </c>
    </row>
    <row r="272" spans="1:5" x14ac:dyDescent="0.25">
      <c r="A272" s="41" t="s">
        <v>16</v>
      </c>
      <c r="B272" s="123">
        <f t="shared" si="139"/>
        <v>0.36265367316341823</v>
      </c>
      <c r="C272" s="123">
        <f t="shared" si="140"/>
        <v>0.33937781109445275</v>
      </c>
      <c r="D272" s="123">
        <f t="shared" si="141"/>
        <v>0.2979685157421289</v>
      </c>
      <c r="E272" s="125">
        <f t="shared" si="142"/>
        <v>0.99999999999999989</v>
      </c>
    </row>
    <row r="273" spans="1:25" x14ac:dyDescent="0.25">
      <c r="A273" s="41" t="s">
        <v>18</v>
      </c>
      <c r="B273" s="123">
        <f t="shared" si="139"/>
        <v>0.37410691003911339</v>
      </c>
      <c r="C273" s="123">
        <f t="shared" si="140"/>
        <v>0.2635462842242503</v>
      </c>
      <c r="D273" s="123">
        <f t="shared" si="141"/>
        <v>0.36234680573663625</v>
      </c>
      <c r="E273" s="125">
        <f t="shared" si="142"/>
        <v>0.99999999999999989</v>
      </c>
    </row>
    <row r="274" spans="1:25" x14ac:dyDescent="0.25">
      <c r="A274" s="41" t="s">
        <v>19</v>
      </c>
      <c r="B274" s="123">
        <f t="shared" si="139"/>
        <v>0.37454056958624393</v>
      </c>
      <c r="C274" s="123">
        <f t="shared" si="140"/>
        <v>0.30828586781300371</v>
      </c>
      <c r="D274" s="123">
        <f t="shared" si="141"/>
        <v>0.31717356260075236</v>
      </c>
      <c r="E274" s="125">
        <f t="shared" si="142"/>
        <v>1</v>
      </c>
    </row>
    <row r="275" spans="1:25" x14ac:dyDescent="0.25">
      <c r="A275" s="41" t="s">
        <v>20</v>
      </c>
      <c r="B275" s="123">
        <f t="shared" si="139"/>
        <v>0.35992932862190813</v>
      </c>
      <c r="C275" s="123">
        <f t="shared" si="140"/>
        <v>0.28442873969375737</v>
      </c>
      <c r="D275" s="123">
        <f t="shared" si="141"/>
        <v>0.35564193168433456</v>
      </c>
      <c r="E275" s="125">
        <f t="shared" si="142"/>
        <v>1</v>
      </c>
    </row>
    <row r="276" spans="1:25" x14ac:dyDescent="0.25">
      <c r="A276" s="41" t="s">
        <v>21</v>
      </c>
      <c r="B276" s="123">
        <f t="shared" si="139"/>
        <v>0.32706932052161974</v>
      </c>
      <c r="C276" s="123">
        <f t="shared" si="140"/>
        <v>0.33228551818805763</v>
      </c>
      <c r="D276" s="123">
        <f t="shared" si="141"/>
        <v>0.34064516129032263</v>
      </c>
      <c r="E276" s="125">
        <f t="shared" si="142"/>
        <v>1</v>
      </c>
    </row>
    <row r="277" spans="1:25" x14ac:dyDescent="0.25">
      <c r="A277" s="41" t="s">
        <v>23</v>
      </c>
      <c r="B277" s="123">
        <f t="shared" si="139"/>
        <v>0.35134908764582712</v>
      </c>
      <c r="C277" s="123">
        <f t="shared" si="140"/>
        <v>0.3123122943463954</v>
      </c>
      <c r="D277" s="123">
        <f t="shared" si="141"/>
        <v>0.33633861800777742</v>
      </c>
      <c r="E277" s="125">
        <f t="shared" si="142"/>
        <v>1</v>
      </c>
    </row>
    <row r="278" spans="1:25" x14ac:dyDescent="0.25">
      <c r="A278" s="41" t="s">
        <v>24</v>
      </c>
      <c r="B278" s="123">
        <f t="shared" si="139"/>
        <v>0.29908669755129053</v>
      </c>
      <c r="C278" s="123">
        <f t="shared" si="140"/>
        <v>0.30762409000661817</v>
      </c>
      <c r="D278" s="123">
        <f t="shared" si="141"/>
        <v>0.39328921244209131</v>
      </c>
      <c r="E278" s="125">
        <f t="shared" si="142"/>
        <v>1</v>
      </c>
    </row>
    <row r="280" spans="1:25" ht="15.75" thickBot="1" x14ac:dyDescent="0.3">
      <c r="A280" s="1" t="s">
        <v>178</v>
      </c>
    </row>
    <row r="281" spans="1:25" ht="15.75" thickBot="1" x14ac:dyDescent="0.3">
      <c r="A281" s="233" t="s">
        <v>27</v>
      </c>
      <c r="B281" s="229" t="s">
        <v>192</v>
      </c>
      <c r="C281" s="235"/>
      <c r="D281" s="235"/>
      <c r="E281" s="235"/>
      <c r="F281" s="235"/>
      <c r="G281" s="235"/>
      <c r="H281" s="235"/>
      <c r="I281" s="236"/>
      <c r="J281" s="229" t="s">
        <v>193</v>
      </c>
      <c r="K281" s="235"/>
      <c r="L281" s="235"/>
      <c r="M281" s="235"/>
      <c r="N281" s="235"/>
      <c r="O281" s="235"/>
      <c r="P281" s="235"/>
      <c r="Q281" s="236"/>
      <c r="R281" s="229" t="s">
        <v>194</v>
      </c>
      <c r="S281" s="235"/>
      <c r="T281" s="235"/>
      <c r="U281" s="235"/>
      <c r="V281" s="235"/>
      <c r="W281" s="235"/>
      <c r="X281" s="235"/>
      <c r="Y281" s="236"/>
    </row>
    <row r="282" spans="1:25" ht="33.75" customHeight="1" thickBot="1" x14ac:dyDescent="0.3">
      <c r="A282" s="234"/>
      <c r="B282" s="226" t="s">
        <v>3</v>
      </c>
      <c r="C282" s="227"/>
      <c r="D282" s="227"/>
      <c r="E282" s="228"/>
      <c r="F282" s="229" t="s">
        <v>4</v>
      </c>
      <c r="G282" s="227"/>
      <c r="H282" s="227"/>
      <c r="I282" s="228"/>
      <c r="J282" s="226" t="s">
        <v>3</v>
      </c>
      <c r="K282" s="227"/>
      <c r="L282" s="227"/>
      <c r="M282" s="228"/>
      <c r="N282" s="229" t="s">
        <v>4</v>
      </c>
      <c r="O282" s="227"/>
      <c r="P282" s="227"/>
      <c r="Q282" s="228"/>
      <c r="R282" s="226" t="s">
        <v>3</v>
      </c>
      <c r="S282" s="227"/>
      <c r="T282" s="227"/>
      <c r="U282" s="228"/>
      <c r="V282" s="229" t="s">
        <v>4</v>
      </c>
      <c r="W282" s="227"/>
      <c r="X282" s="227"/>
      <c r="Y282" s="228"/>
    </row>
    <row r="283" spans="1:25" x14ac:dyDescent="0.25">
      <c r="A283" s="102" t="s">
        <v>25</v>
      </c>
      <c r="B283" s="6">
        <f t="shared" ref="B283:B292" si="143">BG14</f>
        <v>6.4600000000000009</v>
      </c>
      <c r="C283" s="7">
        <f t="shared" ref="C283:C292" si="144">BH14</f>
        <v>12.6</v>
      </c>
      <c r="D283" s="7">
        <f t="shared" ref="D283:D292" si="145">BI14</f>
        <v>15.81</v>
      </c>
      <c r="E283" s="8">
        <f t="shared" ref="E283:E292" si="146">BJ14</f>
        <v>20.655000000000001</v>
      </c>
      <c r="F283" s="6">
        <f t="shared" ref="F283:F292" si="147">BK14</f>
        <v>8.3199999999999985</v>
      </c>
      <c r="G283" s="7">
        <f t="shared" ref="G283:G292" si="148">BL14</f>
        <v>12.6</v>
      </c>
      <c r="H283" s="7">
        <f t="shared" ref="H283:H292" si="149">BM14</f>
        <v>15.81</v>
      </c>
      <c r="I283" s="100">
        <f t="shared" ref="I283:I292" si="150">BN14</f>
        <v>19.03</v>
      </c>
      <c r="J283" s="6">
        <f t="shared" ref="J283:J292" si="151">BG66</f>
        <v>4.22</v>
      </c>
      <c r="K283" s="7">
        <f t="shared" ref="K283:K292" si="152">BH66</f>
        <v>9.89</v>
      </c>
      <c r="L283" s="7">
        <f t="shared" ref="L283:L292" si="153">BI66</f>
        <v>15.18</v>
      </c>
      <c r="M283" s="8">
        <f t="shared" ref="M283:M292" si="154">BJ66</f>
        <v>21.215000000000003</v>
      </c>
      <c r="N283" s="6">
        <f t="shared" ref="N283:N292" si="155">BK66</f>
        <v>5.6749999999999989</v>
      </c>
      <c r="O283" s="7">
        <f t="shared" ref="O283:O292" si="156">BL66</f>
        <v>9.89</v>
      </c>
      <c r="P283" s="7">
        <f t="shared" ref="P283:P292" si="157">BM66</f>
        <v>15.18</v>
      </c>
      <c r="Q283" s="8">
        <f t="shared" ref="Q283:Q292" si="158">BN66</f>
        <v>19.23</v>
      </c>
      <c r="R283" s="6">
        <f t="shared" ref="R283:R292" si="159">BG118</f>
        <v>5.0450000000000008</v>
      </c>
      <c r="S283" s="7">
        <f t="shared" ref="S283:S292" si="160">BH118</f>
        <v>9.9149999999999991</v>
      </c>
      <c r="T283" s="7">
        <f t="shared" ref="T283:T292" si="161">BI118</f>
        <v>13.555</v>
      </c>
      <c r="U283" s="8">
        <f t="shared" ref="U283:U292" si="162">BJ118</f>
        <v>18.465</v>
      </c>
      <c r="V283" s="6">
        <f t="shared" ref="V283:V292" si="163">BK118</f>
        <v>6.4289999999999994</v>
      </c>
      <c r="W283" s="7">
        <f t="shared" ref="W283:W292" si="164">BL118</f>
        <v>9.9149999999999991</v>
      </c>
      <c r="X283" s="7">
        <f t="shared" ref="X283:X292" si="165">BM118</f>
        <v>13.555</v>
      </c>
      <c r="Y283" s="8">
        <f t="shared" ref="Y283:Y292" si="166">BN118</f>
        <v>16.830000000000002</v>
      </c>
    </row>
    <row r="284" spans="1:25" x14ac:dyDescent="0.25">
      <c r="A284" s="98" t="s">
        <v>14</v>
      </c>
      <c r="B284" s="4">
        <f t="shared" si="143"/>
        <v>1.1550000000000002</v>
      </c>
      <c r="C284" s="2">
        <f t="shared" si="144"/>
        <v>4.4550000000000001</v>
      </c>
      <c r="D284" s="2">
        <f t="shared" si="145"/>
        <v>9.0749999999999993</v>
      </c>
      <c r="E284" s="5">
        <f t="shared" si="146"/>
        <v>14.025</v>
      </c>
      <c r="F284" s="4">
        <f t="shared" si="147"/>
        <v>1.8190000000000008</v>
      </c>
      <c r="G284" s="2">
        <f t="shared" si="148"/>
        <v>4.4550000000000001</v>
      </c>
      <c r="H284" s="2">
        <f t="shared" si="149"/>
        <v>9.0749999999999993</v>
      </c>
      <c r="I284" s="94">
        <f t="shared" si="150"/>
        <v>12.430000000000003</v>
      </c>
      <c r="J284" s="4">
        <f t="shared" si="151"/>
        <v>1.1550000000000002</v>
      </c>
      <c r="K284" s="2">
        <f t="shared" si="152"/>
        <v>5.5550000000000006</v>
      </c>
      <c r="L284" s="2">
        <f t="shared" si="153"/>
        <v>11.275</v>
      </c>
      <c r="M284" s="5">
        <f t="shared" si="154"/>
        <v>16.775000000000002</v>
      </c>
      <c r="N284" s="4">
        <f t="shared" si="155"/>
        <v>1.9650000000000007</v>
      </c>
      <c r="O284" s="2">
        <f t="shared" si="156"/>
        <v>5.5550000000000006</v>
      </c>
      <c r="P284" s="2">
        <f t="shared" si="157"/>
        <v>11.275</v>
      </c>
      <c r="Q284" s="5">
        <f t="shared" si="158"/>
        <v>15.030000000000005</v>
      </c>
      <c r="R284" s="4">
        <f t="shared" si="159"/>
        <v>0.60499999999999998</v>
      </c>
      <c r="S284" s="2">
        <f t="shared" si="160"/>
        <v>3.6300000000000008</v>
      </c>
      <c r="T284" s="2">
        <f t="shared" si="161"/>
        <v>8.25</v>
      </c>
      <c r="U284" s="5">
        <f t="shared" si="162"/>
        <v>12.9</v>
      </c>
      <c r="V284" s="4">
        <f t="shared" si="163"/>
        <v>1.0249999999999999</v>
      </c>
      <c r="W284" s="2">
        <f t="shared" si="164"/>
        <v>3.6300000000000008</v>
      </c>
      <c r="X284" s="2">
        <f t="shared" si="165"/>
        <v>8.25</v>
      </c>
      <c r="Y284" s="5">
        <f t="shared" si="166"/>
        <v>11.430000000000001</v>
      </c>
    </row>
    <row r="285" spans="1:25" x14ac:dyDescent="0.25">
      <c r="A285" s="98" t="s">
        <v>15</v>
      </c>
      <c r="B285" s="4">
        <f t="shared" si="143"/>
        <v>4.0150000000000006</v>
      </c>
      <c r="C285" s="2">
        <f t="shared" si="144"/>
        <v>7.4250000000000007</v>
      </c>
      <c r="D285" s="2">
        <f t="shared" si="145"/>
        <v>12.705000000000002</v>
      </c>
      <c r="E285" s="5">
        <f t="shared" si="146"/>
        <v>19.965</v>
      </c>
      <c r="F285" s="4">
        <f t="shared" si="147"/>
        <v>5.08</v>
      </c>
      <c r="G285" s="2">
        <f t="shared" si="148"/>
        <v>7.4250000000000007</v>
      </c>
      <c r="H285" s="2">
        <f t="shared" si="149"/>
        <v>12.705000000000002</v>
      </c>
      <c r="I285" s="94">
        <f t="shared" si="150"/>
        <v>17.489999999999998</v>
      </c>
      <c r="J285" s="4">
        <f t="shared" si="151"/>
        <v>7.3000000000000007</v>
      </c>
      <c r="K285" s="2">
        <f t="shared" si="152"/>
        <v>13.325000000000001</v>
      </c>
      <c r="L285" s="2">
        <f t="shared" si="153"/>
        <v>18.395</v>
      </c>
      <c r="M285" s="5">
        <f t="shared" si="154"/>
        <v>25.310000000000002</v>
      </c>
      <c r="N285" s="4">
        <f t="shared" si="155"/>
        <v>9.1149999999999984</v>
      </c>
      <c r="O285" s="2">
        <f t="shared" si="156"/>
        <v>13.325000000000001</v>
      </c>
      <c r="P285" s="2">
        <f t="shared" si="157"/>
        <v>18.395</v>
      </c>
      <c r="Q285" s="5">
        <f t="shared" si="158"/>
        <v>22.96</v>
      </c>
      <c r="R285" s="4">
        <f t="shared" si="159"/>
        <v>4.8249999999999993</v>
      </c>
      <c r="S285" s="2">
        <f t="shared" si="160"/>
        <v>9.4499999999999993</v>
      </c>
      <c r="T285" s="2">
        <f t="shared" si="161"/>
        <v>13.97</v>
      </c>
      <c r="U285" s="5">
        <f t="shared" si="162"/>
        <v>20.310000000000002</v>
      </c>
      <c r="V285" s="4">
        <f t="shared" si="163"/>
        <v>6.2499999999999982</v>
      </c>
      <c r="W285" s="2">
        <f t="shared" si="164"/>
        <v>9.4499999999999993</v>
      </c>
      <c r="X285" s="2">
        <f t="shared" si="165"/>
        <v>13.97</v>
      </c>
      <c r="Y285" s="5">
        <f t="shared" si="166"/>
        <v>18.159999999999997</v>
      </c>
    </row>
    <row r="286" spans="1:25" x14ac:dyDescent="0.25">
      <c r="A286" s="98" t="s">
        <v>16</v>
      </c>
      <c r="B286" s="4">
        <f t="shared" si="143"/>
        <v>5.6500000000000012</v>
      </c>
      <c r="C286" s="2">
        <f t="shared" si="144"/>
        <v>10.574999999999999</v>
      </c>
      <c r="D286" s="2">
        <f t="shared" si="145"/>
        <v>14.545000000000002</v>
      </c>
      <c r="E286" s="5">
        <f t="shared" si="146"/>
        <v>20.309999999999999</v>
      </c>
      <c r="F286" s="4">
        <f t="shared" si="147"/>
        <v>7.15</v>
      </c>
      <c r="G286" s="2">
        <f t="shared" si="148"/>
        <v>10.574999999999999</v>
      </c>
      <c r="H286" s="2">
        <f t="shared" si="149"/>
        <v>14.545000000000002</v>
      </c>
      <c r="I286" s="94">
        <f t="shared" si="150"/>
        <v>18.36</v>
      </c>
      <c r="J286" s="4">
        <f t="shared" si="151"/>
        <v>6.1450000000000005</v>
      </c>
      <c r="K286" s="2">
        <f t="shared" si="152"/>
        <v>11.840000000000002</v>
      </c>
      <c r="L286" s="2">
        <f t="shared" si="153"/>
        <v>16.579999999999998</v>
      </c>
      <c r="M286" s="5">
        <f t="shared" si="154"/>
        <v>22.340000000000003</v>
      </c>
      <c r="N286" s="4">
        <f t="shared" si="155"/>
        <v>7.5999999999999979</v>
      </c>
      <c r="O286" s="2">
        <f t="shared" si="156"/>
        <v>11.840000000000002</v>
      </c>
      <c r="P286" s="2">
        <f t="shared" si="157"/>
        <v>16.579999999999998</v>
      </c>
      <c r="Q286" s="5">
        <f t="shared" si="158"/>
        <v>20.43</v>
      </c>
      <c r="R286" s="4">
        <f t="shared" si="159"/>
        <v>2.1950000000000003</v>
      </c>
      <c r="S286" s="2">
        <f t="shared" si="160"/>
        <v>6.0149999999999997</v>
      </c>
      <c r="T286" s="2">
        <f t="shared" si="161"/>
        <v>10.755000000000001</v>
      </c>
      <c r="U286" s="5">
        <f t="shared" si="162"/>
        <v>16.215000000000003</v>
      </c>
      <c r="V286" s="4">
        <f t="shared" si="163"/>
        <v>3.1250000000000009</v>
      </c>
      <c r="W286" s="2">
        <f t="shared" si="164"/>
        <v>6.0149999999999997</v>
      </c>
      <c r="X286" s="2">
        <f t="shared" si="165"/>
        <v>10.755000000000001</v>
      </c>
      <c r="Y286" s="5">
        <f t="shared" si="166"/>
        <v>14.430000000000003</v>
      </c>
    </row>
    <row r="287" spans="1:25" x14ac:dyDescent="0.25">
      <c r="A287" s="98" t="s">
        <v>18</v>
      </c>
      <c r="B287" s="4">
        <f t="shared" si="143"/>
        <v>4.45</v>
      </c>
      <c r="C287" s="2">
        <f t="shared" si="144"/>
        <v>8.3250000000000011</v>
      </c>
      <c r="D287" s="2">
        <f t="shared" si="145"/>
        <v>13.395</v>
      </c>
      <c r="E287" s="5">
        <f t="shared" si="146"/>
        <v>20.310000000000002</v>
      </c>
      <c r="F287" s="4">
        <f t="shared" si="147"/>
        <v>5.6650000000000009</v>
      </c>
      <c r="G287" s="2">
        <f t="shared" si="148"/>
        <v>8.3250000000000011</v>
      </c>
      <c r="H287" s="2">
        <f t="shared" si="149"/>
        <v>13.395</v>
      </c>
      <c r="I287" s="94">
        <f t="shared" si="150"/>
        <v>17.96</v>
      </c>
      <c r="J287" s="4">
        <f t="shared" si="151"/>
        <v>7.3000000000000007</v>
      </c>
      <c r="K287" s="2">
        <f t="shared" si="152"/>
        <v>13.325000000000001</v>
      </c>
      <c r="L287" s="2">
        <f t="shared" si="153"/>
        <v>18.395</v>
      </c>
      <c r="M287" s="5">
        <f t="shared" si="154"/>
        <v>25.310000000000002</v>
      </c>
      <c r="N287" s="4">
        <f t="shared" si="155"/>
        <v>9.1149999999999984</v>
      </c>
      <c r="O287" s="2">
        <f t="shared" si="156"/>
        <v>13.325000000000001</v>
      </c>
      <c r="P287" s="2">
        <f t="shared" si="157"/>
        <v>18.395</v>
      </c>
      <c r="Q287" s="5">
        <f t="shared" si="158"/>
        <v>22.96</v>
      </c>
      <c r="R287" s="4">
        <f t="shared" si="159"/>
        <v>2.57</v>
      </c>
      <c r="S287" s="2">
        <f t="shared" si="160"/>
        <v>7.14</v>
      </c>
      <c r="T287" s="2">
        <f t="shared" si="161"/>
        <v>11.33</v>
      </c>
      <c r="U287" s="5">
        <f t="shared" si="162"/>
        <v>16.215</v>
      </c>
      <c r="V287" s="4">
        <f t="shared" si="163"/>
        <v>3.7099999999999991</v>
      </c>
      <c r="W287" s="2">
        <f t="shared" si="164"/>
        <v>7.14</v>
      </c>
      <c r="X287" s="2">
        <f t="shared" si="165"/>
        <v>11.33</v>
      </c>
      <c r="Y287" s="5">
        <f t="shared" si="166"/>
        <v>14.63</v>
      </c>
    </row>
    <row r="288" spans="1:25" x14ac:dyDescent="0.25">
      <c r="A288" s="98" t="s">
        <v>19</v>
      </c>
      <c r="B288" s="4">
        <f t="shared" si="143"/>
        <v>4.495000000000001</v>
      </c>
      <c r="C288" s="2">
        <f t="shared" si="144"/>
        <v>9.09</v>
      </c>
      <c r="D288" s="2">
        <f t="shared" si="145"/>
        <v>12.73</v>
      </c>
      <c r="E288" s="5">
        <f t="shared" si="146"/>
        <v>17.34</v>
      </c>
      <c r="F288" s="4">
        <f t="shared" si="147"/>
        <v>5.6349999999999989</v>
      </c>
      <c r="G288" s="2">
        <f t="shared" si="148"/>
        <v>9.09</v>
      </c>
      <c r="H288" s="2">
        <f t="shared" si="149"/>
        <v>12.73</v>
      </c>
      <c r="I288" s="94">
        <f t="shared" si="150"/>
        <v>15.83</v>
      </c>
      <c r="J288" s="4">
        <f t="shared" si="151"/>
        <v>6.1450000000000005</v>
      </c>
      <c r="K288" s="2">
        <f t="shared" si="152"/>
        <v>11.840000000000002</v>
      </c>
      <c r="L288" s="2">
        <f t="shared" si="153"/>
        <v>16.579999999999998</v>
      </c>
      <c r="M288" s="5">
        <f t="shared" si="154"/>
        <v>22.340000000000003</v>
      </c>
      <c r="N288" s="4">
        <f t="shared" si="155"/>
        <v>7.5999999999999979</v>
      </c>
      <c r="O288" s="2">
        <f t="shared" si="156"/>
        <v>11.840000000000002</v>
      </c>
      <c r="P288" s="2">
        <f t="shared" si="157"/>
        <v>16.579999999999998</v>
      </c>
      <c r="Q288" s="5">
        <f t="shared" si="158"/>
        <v>20.43</v>
      </c>
      <c r="R288" s="4">
        <f t="shared" si="159"/>
        <v>1.1550000000000002</v>
      </c>
      <c r="S288" s="2">
        <f t="shared" si="160"/>
        <v>4.4550000000000001</v>
      </c>
      <c r="T288" s="2">
        <f t="shared" si="161"/>
        <v>9.0750000000000011</v>
      </c>
      <c r="U288" s="5">
        <f t="shared" si="162"/>
        <v>14.025</v>
      </c>
      <c r="V288" s="4">
        <f t="shared" si="163"/>
        <v>1.8190000000000008</v>
      </c>
      <c r="W288" s="2">
        <f t="shared" si="164"/>
        <v>4.4550000000000001</v>
      </c>
      <c r="X288" s="2">
        <f t="shared" si="165"/>
        <v>9.0750000000000011</v>
      </c>
      <c r="Y288" s="5">
        <f t="shared" si="166"/>
        <v>12.430000000000003</v>
      </c>
    </row>
    <row r="289" spans="1:40" x14ac:dyDescent="0.25">
      <c r="A289" s="98" t="s">
        <v>20</v>
      </c>
      <c r="B289" s="4">
        <f t="shared" si="143"/>
        <v>4.495000000000001</v>
      </c>
      <c r="C289" s="2">
        <f t="shared" si="144"/>
        <v>9.09</v>
      </c>
      <c r="D289" s="2">
        <f t="shared" si="145"/>
        <v>12.73</v>
      </c>
      <c r="E289" s="5">
        <f t="shared" si="146"/>
        <v>17.34</v>
      </c>
      <c r="F289" s="4">
        <f t="shared" si="147"/>
        <v>5.6349999999999989</v>
      </c>
      <c r="G289" s="2">
        <f t="shared" si="148"/>
        <v>9.09</v>
      </c>
      <c r="H289" s="2">
        <f t="shared" si="149"/>
        <v>12.73</v>
      </c>
      <c r="I289" s="94">
        <f t="shared" si="150"/>
        <v>15.83</v>
      </c>
      <c r="J289" s="4">
        <f t="shared" si="151"/>
        <v>6.1450000000000005</v>
      </c>
      <c r="K289" s="2">
        <f t="shared" si="152"/>
        <v>11.840000000000002</v>
      </c>
      <c r="L289" s="2">
        <f t="shared" si="153"/>
        <v>16.579999999999998</v>
      </c>
      <c r="M289" s="5">
        <f t="shared" si="154"/>
        <v>22.340000000000003</v>
      </c>
      <c r="N289" s="4">
        <f t="shared" si="155"/>
        <v>7.5999999999999979</v>
      </c>
      <c r="O289" s="2">
        <f t="shared" si="156"/>
        <v>11.840000000000002</v>
      </c>
      <c r="P289" s="2">
        <f t="shared" si="157"/>
        <v>16.579999999999998</v>
      </c>
      <c r="Q289" s="5">
        <f t="shared" si="158"/>
        <v>20.43</v>
      </c>
      <c r="R289" s="4">
        <f t="shared" si="159"/>
        <v>2.1950000000000003</v>
      </c>
      <c r="S289" s="2">
        <f t="shared" si="160"/>
        <v>6.0149999999999997</v>
      </c>
      <c r="T289" s="2">
        <f t="shared" si="161"/>
        <v>10.755000000000001</v>
      </c>
      <c r="U289" s="5">
        <f t="shared" si="162"/>
        <v>16.215000000000003</v>
      </c>
      <c r="V289" s="4">
        <f t="shared" si="163"/>
        <v>3.1250000000000009</v>
      </c>
      <c r="W289" s="2">
        <f t="shared" si="164"/>
        <v>6.0149999999999997</v>
      </c>
      <c r="X289" s="2">
        <f t="shared" si="165"/>
        <v>10.755000000000001</v>
      </c>
      <c r="Y289" s="5">
        <f t="shared" si="166"/>
        <v>14.430000000000003</v>
      </c>
    </row>
    <row r="290" spans="1:40" x14ac:dyDescent="0.25">
      <c r="A290" s="98" t="s">
        <v>21</v>
      </c>
      <c r="B290" s="4">
        <f t="shared" si="143"/>
        <v>5.26</v>
      </c>
      <c r="C290" s="2">
        <f t="shared" si="144"/>
        <v>10.350000000000001</v>
      </c>
      <c r="D290" s="2">
        <f t="shared" si="145"/>
        <v>14.66</v>
      </c>
      <c r="E290" s="5">
        <f t="shared" si="146"/>
        <v>20.655000000000001</v>
      </c>
      <c r="F290" s="4">
        <f t="shared" si="147"/>
        <v>6.8349999999999991</v>
      </c>
      <c r="G290" s="2">
        <f t="shared" si="148"/>
        <v>10.350000000000001</v>
      </c>
      <c r="H290" s="2">
        <f t="shared" si="149"/>
        <v>14.66</v>
      </c>
      <c r="I290" s="94">
        <f t="shared" si="150"/>
        <v>18.63</v>
      </c>
      <c r="J290" s="4">
        <f t="shared" si="151"/>
        <v>4.22</v>
      </c>
      <c r="K290" s="2">
        <f t="shared" si="152"/>
        <v>9.89</v>
      </c>
      <c r="L290" s="2">
        <f t="shared" si="153"/>
        <v>15.18</v>
      </c>
      <c r="M290" s="5">
        <f t="shared" si="154"/>
        <v>21.215000000000003</v>
      </c>
      <c r="N290" s="4">
        <f t="shared" si="155"/>
        <v>5.6749999999999989</v>
      </c>
      <c r="O290" s="2">
        <f t="shared" si="156"/>
        <v>9.89</v>
      </c>
      <c r="P290" s="2">
        <f t="shared" si="157"/>
        <v>15.18</v>
      </c>
      <c r="Q290" s="5">
        <f t="shared" si="158"/>
        <v>19.23</v>
      </c>
      <c r="R290" s="4">
        <f t="shared" si="159"/>
        <v>4.495000000000001</v>
      </c>
      <c r="S290" s="2">
        <f t="shared" si="160"/>
        <v>9.09</v>
      </c>
      <c r="T290" s="2">
        <f t="shared" si="161"/>
        <v>12.73</v>
      </c>
      <c r="U290" s="5">
        <f t="shared" si="162"/>
        <v>17.34</v>
      </c>
      <c r="V290" s="4">
        <f t="shared" si="163"/>
        <v>5.6349999999999989</v>
      </c>
      <c r="W290" s="2">
        <f t="shared" si="164"/>
        <v>9.09</v>
      </c>
      <c r="X290" s="2">
        <f t="shared" si="165"/>
        <v>12.73</v>
      </c>
      <c r="Y290" s="5">
        <f t="shared" si="166"/>
        <v>15.83</v>
      </c>
    </row>
    <row r="291" spans="1:40" x14ac:dyDescent="0.25">
      <c r="A291" s="98" t="s">
        <v>23</v>
      </c>
      <c r="B291" s="4">
        <f t="shared" si="143"/>
        <v>4.45</v>
      </c>
      <c r="C291" s="2">
        <f t="shared" si="144"/>
        <v>8.3250000000000011</v>
      </c>
      <c r="D291" s="2">
        <f t="shared" si="145"/>
        <v>13.395</v>
      </c>
      <c r="E291" s="5">
        <f t="shared" si="146"/>
        <v>20.310000000000002</v>
      </c>
      <c r="F291" s="4">
        <f t="shared" si="147"/>
        <v>5.6650000000000009</v>
      </c>
      <c r="G291" s="2">
        <f t="shared" si="148"/>
        <v>8.3250000000000011</v>
      </c>
      <c r="H291" s="2">
        <f t="shared" si="149"/>
        <v>13.395</v>
      </c>
      <c r="I291" s="94">
        <f t="shared" si="150"/>
        <v>17.96</v>
      </c>
      <c r="J291" s="4">
        <f t="shared" si="151"/>
        <v>5.0450000000000008</v>
      </c>
      <c r="K291" s="2">
        <f t="shared" si="152"/>
        <v>11.015000000000001</v>
      </c>
      <c r="L291" s="2">
        <f t="shared" si="153"/>
        <v>15.754999999999999</v>
      </c>
      <c r="M291" s="5">
        <f t="shared" si="154"/>
        <v>21.215</v>
      </c>
      <c r="N291" s="4">
        <f t="shared" si="155"/>
        <v>6.5749999999999993</v>
      </c>
      <c r="O291" s="2">
        <f t="shared" si="156"/>
        <v>11.015000000000001</v>
      </c>
      <c r="P291" s="2">
        <f t="shared" si="157"/>
        <v>15.754999999999999</v>
      </c>
      <c r="Q291" s="5">
        <f t="shared" si="158"/>
        <v>19.430000000000003</v>
      </c>
      <c r="R291" s="4">
        <f t="shared" si="159"/>
        <v>2.57</v>
      </c>
      <c r="S291" s="2">
        <f t="shared" si="160"/>
        <v>7.14</v>
      </c>
      <c r="T291" s="2">
        <f t="shared" si="161"/>
        <v>11.33</v>
      </c>
      <c r="U291" s="5">
        <f t="shared" si="162"/>
        <v>16.215</v>
      </c>
      <c r="V291" s="4">
        <f t="shared" si="163"/>
        <v>3.7099999999999991</v>
      </c>
      <c r="W291" s="2">
        <f t="shared" si="164"/>
        <v>7.14</v>
      </c>
      <c r="X291" s="2">
        <f t="shared" si="165"/>
        <v>11.33</v>
      </c>
      <c r="Y291" s="5">
        <f t="shared" si="166"/>
        <v>14.63</v>
      </c>
    </row>
    <row r="292" spans="1:40" x14ac:dyDescent="0.25">
      <c r="A292" s="99" t="s">
        <v>24</v>
      </c>
      <c r="B292" s="95">
        <f t="shared" si="143"/>
        <v>2.1950000000000003</v>
      </c>
      <c r="C292" s="58">
        <f t="shared" si="144"/>
        <v>6.0150000000000006</v>
      </c>
      <c r="D292" s="58">
        <f t="shared" si="145"/>
        <v>10.754999999999999</v>
      </c>
      <c r="E292" s="62">
        <f t="shared" si="146"/>
        <v>16.215</v>
      </c>
      <c r="F292" s="95">
        <f t="shared" si="147"/>
        <v>3.1250000000000009</v>
      </c>
      <c r="G292" s="58">
        <f t="shared" si="148"/>
        <v>6.0150000000000006</v>
      </c>
      <c r="H292" s="58">
        <f t="shared" si="149"/>
        <v>10.754999999999999</v>
      </c>
      <c r="I292" s="101">
        <f t="shared" si="150"/>
        <v>14.430000000000003</v>
      </c>
      <c r="J292" s="95">
        <f t="shared" si="151"/>
        <v>5.0450000000000008</v>
      </c>
      <c r="K292" s="58">
        <f t="shared" si="152"/>
        <v>11.015000000000001</v>
      </c>
      <c r="L292" s="58">
        <f t="shared" si="153"/>
        <v>15.754999999999999</v>
      </c>
      <c r="M292" s="62">
        <f t="shared" si="154"/>
        <v>21.215</v>
      </c>
      <c r="N292" s="95">
        <f t="shared" si="155"/>
        <v>6.5749999999999993</v>
      </c>
      <c r="O292" s="58">
        <f t="shared" si="156"/>
        <v>11.015000000000001</v>
      </c>
      <c r="P292" s="58">
        <f t="shared" si="157"/>
        <v>15.754999999999999</v>
      </c>
      <c r="Q292" s="62">
        <f t="shared" si="158"/>
        <v>19.430000000000003</v>
      </c>
      <c r="R292" s="95">
        <f t="shared" si="159"/>
        <v>4.22</v>
      </c>
      <c r="S292" s="58">
        <f t="shared" si="160"/>
        <v>8.7900000000000009</v>
      </c>
      <c r="T292" s="58">
        <f t="shared" si="161"/>
        <v>12.98</v>
      </c>
      <c r="U292" s="62">
        <f t="shared" si="162"/>
        <v>18.465</v>
      </c>
      <c r="V292" s="95">
        <f t="shared" si="163"/>
        <v>5.5289999999999981</v>
      </c>
      <c r="W292" s="58">
        <f t="shared" si="164"/>
        <v>8.7900000000000009</v>
      </c>
      <c r="X292" s="58">
        <f t="shared" si="165"/>
        <v>12.98</v>
      </c>
      <c r="Y292" s="62">
        <f t="shared" si="166"/>
        <v>16.63</v>
      </c>
    </row>
    <row r="294" spans="1:40" x14ac:dyDescent="0.25">
      <c r="A294" s="1" t="s">
        <v>144</v>
      </c>
      <c r="AH294">
        <v>0.8</v>
      </c>
    </row>
    <row r="295" spans="1:40" x14ac:dyDescent="0.25">
      <c r="A295" s="233" t="s">
        <v>27</v>
      </c>
      <c r="B295" s="229" t="s">
        <v>141</v>
      </c>
      <c r="C295" s="235"/>
      <c r="D295" s="235"/>
      <c r="E295" s="235"/>
      <c r="F295" s="235"/>
      <c r="G295" s="235"/>
      <c r="H295" s="235"/>
      <c r="I295" s="236"/>
      <c r="J295" s="229" t="s">
        <v>142</v>
      </c>
      <c r="K295" s="235"/>
      <c r="L295" s="235"/>
      <c r="M295" s="235"/>
      <c r="N295" s="235"/>
      <c r="O295" s="235"/>
      <c r="P295" s="235"/>
      <c r="Q295" s="236"/>
      <c r="R295" s="229" t="s">
        <v>145</v>
      </c>
      <c r="S295" s="235"/>
      <c r="T295" s="235"/>
      <c r="U295" s="235"/>
      <c r="V295" s="235"/>
      <c r="W295" s="235"/>
      <c r="X295" s="235"/>
      <c r="Y295" s="236"/>
      <c r="Z295" s="230" t="s">
        <v>143</v>
      </c>
      <c r="AA295" s="231"/>
      <c r="AB295" s="231"/>
      <c r="AC295" s="231"/>
      <c r="AD295" s="231"/>
      <c r="AE295" s="231"/>
      <c r="AF295" s="231"/>
      <c r="AG295" s="232"/>
      <c r="AH295" s="219" t="s">
        <v>82</v>
      </c>
      <c r="AI295" s="220"/>
      <c r="AJ295" s="220"/>
      <c r="AK295" s="221"/>
      <c r="AL295" s="222" t="s">
        <v>84</v>
      </c>
      <c r="AM295" s="223"/>
      <c r="AN295" s="224" t="s">
        <v>87</v>
      </c>
    </row>
    <row r="296" spans="1:40" ht="31.5" customHeight="1" thickBot="1" x14ac:dyDescent="0.3">
      <c r="A296" s="234"/>
      <c r="B296" s="226" t="s">
        <v>3</v>
      </c>
      <c r="C296" s="227"/>
      <c r="D296" s="227"/>
      <c r="E296" s="228"/>
      <c r="F296" s="229" t="s">
        <v>4</v>
      </c>
      <c r="G296" s="227"/>
      <c r="H296" s="227"/>
      <c r="I296" s="228"/>
      <c r="J296" s="226" t="s">
        <v>3</v>
      </c>
      <c r="K296" s="227"/>
      <c r="L296" s="227"/>
      <c r="M296" s="228"/>
      <c r="N296" s="229" t="s">
        <v>4</v>
      </c>
      <c r="O296" s="227"/>
      <c r="P296" s="227"/>
      <c r="Q296" s="228"/>
      <c r="R296" s="226" t="s">
        <v>3</v>
      </c>
      <c r="S296" s="227"/>
      <c r="T296" s="227"/>
      <c r="U296" s="228"/>
      <c r="V296" s="229" t="s">
        <v>4</v>
      </c>
      <c r="W296" s="227"/>
      <c r="X296" s="227"/>
      <c r="Y296" s="228"/>
      <c r="Z296" s="230" t="s">
        <v>3</v>
      </c>
      <c r="AA296" s="231"/>
      <c r="AB296" s="231"/>
      <c r="AC296" s="232"/>
      <c r="AD296" s="230" t="s">
        <v>4</v>
      </c>
      <c r="AE296" s="231"/>
      <c r="AF296" s="231"/>
      <c r="AG296" s="232"/>
      <c r="AH296" s="216" t="s">
        <v>83</v>
      </c>
      <c r="AI296" s="217"/>
      <c r="AJ296" s="216" t="s">
        <v>5</v>
      </c>
      <c r="AK296" s="218"/>
      <c r="AL296" s="80" t="s">
        <v>85</v>
      </c>
      <c r="AM296" s="80" t="s">
        <v>86</v>
      </c>
      <c r="AN296" s="225"/>
    </row>
    <row r="297" spans="1:40" x14ac:dyDescent="0.25">
      <c r="A297" s="102" t="s">
        <v>25</v>
      </c>
      <c r="B297" s="15">
        <f>B283*$B269</f>
        <v>1.9949468727005153</v>
      </c>
      <c r="C297" s="16">
        <f t="shared" ref="C297:I297" si="167">C283*$B269</f>
        <v>3.8910728476821186</v>
      </c>
      <c r="D297" s="16">
        <f t="shared" si="167"/>
        <v>4.8823699779249443</v>
      </c>
      <c r="E297" s="17">
        <f t="shared" si="167"/>
        <v>6.3785801324503311</v>
      </c>
      <c r="F297" s="15">
        <f t="shared" si="167"/>
        <v>2.5693433406916846</v>
      </c>
      <c r="G297" s="16">
        <f t="shared" si="167"/>
        <v>3.8910728476821186</v>
      </c>
      <c r="H297" s="16">
        <f t="shared" si="167"/>
        <v>4.8823699779249443</v>
      </c>
      <c r="I297" s="134">
        <f t="shared" si="167"/>
        <v>5.8767552612214864</v>
      </c>
      <c r="J297" s="15">
        <f>J283*$C269</f>
        <v>1.4261674760853567</v>
      </c>
      <c r="K297" s="16">
        <f t="shared" ref="K297:Q297" si="168">K283*$C269</f>
        <v>3.3423688005886683</v>
      </c>
      <c r="L297" s="16">
        <f t="shared" si="168"/>
        <v>5.1301474613686535</v>
      </c>
      <c r="M297" s="17">
        <f t="shared" si="168"/>
        <v>7.1697021339220024</v>
      </c>
      <c r="N297" s="15">
        <f t="shared" si="168"/>
        <v>1.9178910963944071</v>
      </c>
      <c r="O297" s="16">
        <f t="shared" si="168"/>
        <v>3.3423688005886683</v>
      </c>
      <c r="P297" s="16">
        <f t="shared" si="168"/>
        <v>5.1301474613686535</v>
      </c>
      <c r="Q297" s="134">
        <f t="shared" si="168"/>
        <v>6.4988626931567328</v>
      </c>
      <c r="R297" s="15">
        <f>R283*$D269</f>
        <v>1.7820469462840329</v>
      </c>
      <c r="S297" s="16">
        <f t="shared" ref="S297:Y297" si="169">S283*$D269</f>
        <v>3.5022785871964679</v>
      </c>
      <c r="T297" s="16">
        <f t="shared" si="169"/>
        <v>4.7880369389256812</v>
      </c>
      <c r="U297" s="17">
        <f t="shared" si="169"/>
        <v>6.5223977924944814</v>
      </c>
      <c r="V297" s="15">
        <f>V283*$D269</f>
        <v>2.2709177041942605</v>
      </c>
      <c r="W297" s="16">
        <f t="shared" si="169"/>
        <v>3.5022785871964679</v>
      </c>
      <c r="X297" s="16">
        <f t="shared" si="169"/>
        <v>4.7880369389256812</v>
      </c>
      <c r="Y297" s="134">
        <f t="shared" si="169"/>
        <v>5.9448662251655637</v>
      </c>
      <c r="Z297" s="15">
        <f>B297+J297+R297</f>
        <v>5.2031612950699051</v>
      </c>
      <c r="AA297" s="16">
        <f t="shared" ref="AA297:AG306" si="170">C297+K297+S297</f>
        <v>10.735720235467255</v>
      </c>
      <c r="AB297" s="16">
        <f t="shared" si="170"/>
        <v>14.800554378219278</v>
      </c>
      <c r="AC297" s="17">
        <f t="shared" si="170"/>
        <v>20.070680058866813</v>
      </c>
      <c r="AD297" s="15">
        <f t="shared" si="170"/>
        <v>6.7581521412803518</v>
      </c>
      <c r="AE297" s="16">
        <f t="shared" si="170"/>
        <v>10.735720235467255</v>
      </c>
      <c r="AF297" s="16">
        <f t="shared" si="170"/>
        <v>14.800554378219278</v>
      </c>
      <c r="AG297" s="134">
        <f t="shared" si="170"/>
        <v>18.320484179543783</v>
      </c>
      <c r="AH297" s="142">
        <f>AH$294*AA297+(1-AH$294)*Z297</f>
        <v>9.6292084473877857</v>
      </c>
      <c r="AI297" s="194">
        <f>AH$294*AB297+(1-AH$294)*AC297</f>
        <v>15.854579514348785</v>
      </c>
      <c r="AJ297" s="142">
        <f>AH$294*AE297+(1-AH$294)*AD297</f>
        <v>9.9402066166298759</v>
      </c>
      <c r="AK297" s="194">
        <f>AH$294*AF297+(1-AH$294)*AG297</f>
        <v>15.50454033848418</v>
      </c>
      <c r="AL297" s="142">
        <f>(AH297+AI297)/2</f>
        <v>12.741893980868285</v>
      </c>
      <c r="AM297" s="194">
        <f>(AJ297+AK297)/2</f>
        <v>12.722373477557028</v>
      </c>
      <c r="AN297" s="195">
        <f>(AL297+AM297)/2</f>
        <v>12.732133729212656</v>
      </c>
    </row>
    <row r="298" spans="1:40" x14ac:dyDescent="0.25">
      <c r="A298" s="98" t="s">
        <v>14</v>
      </c>
      <c r="B298" s="135">
        <f t="shared" ref="B298:B306" si="171">B284*$B270</f>
        <v>0.38910569259962052</v>
      </c>
      <c r="C298" s="129">
        <f t="shared" ref="C298:I298" si="172">C284*$B270</f>
        <v>1.5008362428842503</v>
      </c>
      <c r="D298" s="129">
        <f t="shared" si="172"/>
        <v>3.057259013282732</v>
      </c>
      <c r="E298" s="136">
        <f t="shared" si="172"/>
        <v>4.7248548387096774</v>
      </c>
      <c r="F298" s="135">
        <f t="shared" si="172"/>
        <v>0.61279935483870995</v>
      </c>
      <c r="G298" s="129">
        <f t="shared" si="172"/>
        <v>1.5008362428842503</v>
      </c>
      <c r="H298" s="129">
        <f t="shared" si="172"/>
        <v>3.057259013282732</v>
      </c>
      <c r="I298" s="137">
        <f t="shared" si="172"/>
        <v>4.1875184060721073</v>
      </c>
      <c r="J298" s="135">
        <f t="shared" ref="J298:J306" si="173">J284*$C270</f>
        <v>0.35195721062618601</v>
      </c>
      <c r="K298" s="129">
        <f t="shared" ref="K298:Q298" si="174">K284*$C270</f>
        <v>1.6927465844402276</v>
      </c>
      <c r="L298" s="129">
        <f t="shared" si="174"/>
        <v>3.4357727703984815</v>
      </c>
      <c r="M298" s="136">
        <f t="shared" si="174"/>
        <v>5.1117594876660339</v>
      </c>
      <c r="N298" s="135">
        <f t="shared" si="174"/>
        <v>0.59878434535104386</v>
      </c>
      <c r="O298" s="129">
        <f t="shared" si="174"/>
        <v>1.6927465844402276</v>
      </c>
      <c r="P298" s="129">
        <f t="shared" si="174"/>
        <v>3.4357727703984815</v>
      </c>
      <c r="Q298" s="137">
        <f t="shared" si="174"/>
        <v>4.5800146110056934</v>
      </c>
      <c r="R298" s="135">
        <f t="shared" ref="R298:R306" si="175">R284*$D270</f>
        <v>0.21682419354838708</v>
      </c>
      <c r="S298" s="129">
        <f t="shared" ref="S298:Y298" si="176">S284*$D270</f>
        <v>1.3009451612903229</v>
      </c>
      <c r="T298" s="129">
        <f t="shared" si="176"/>
        <v>2.9566935483870971</v>
      </c>
      <c r="U298" s="136">
        <f t="shared" si="176"/>
        <v>4.6231935483870972</v>
      </c>
      <c r="V298" s="135">
        <f t="shared" si="176"/>
        <v>0.36734677419354839</v>
      </c>
      <c r="W298" s="129">
        <f t="shared" si="176"/>
        <v>1.3009451612903229</v>
      </c>
      <c r="X298" s="129">
        <f t="shared" si="176"/>
        <v>2.9566935483870971</v>
      </c>
      <c r="Y298" s="137">
        <f t="shared" si="176"/>
        <v>4.0963645161290332</v>
      </c>
      <c r="Z298" s="135">
        <f t="shared" ref="Z298:Z306" si="177">B298+J298+R298</f>
        <v>0.95788709677419359</v>
      </c>
      <c r="AA298" s="129">
        <f t="shared" si="170"/>
        <v>4.4945279886148004</v>
      </c>
      <c r="AB298" s="129">
        <f t="shared" si="170"/>
        <v>9.4497253320683114</v>
      </c>
      <c r="AC298" s="136">
        <f t="shared" si="170"/>
        <v>14.459807874762809</v>
      </c>
      <c r="AD298" s="135">
        <f t="shared" si="170"/>
        <v>1.5789304743833021</v>
      </c>
      <c r="AE298" s="129">
        <f t="shared" si="170"/>
        <v>4.4945279886148004</v>
      </c>
      <c r="AF298" s="129">
        <f t="shared" si="170"/>
        <v>9.4497253320683114</v>
      </c>
      <c r="AG298" s="137">
        <f t="shared" si="170"/>
        <v>12.863897533206835</v>
      </c>
      <c r="AH298" s="143">
        <f t="shared" ref="AH298:AH306" si="178">AH$294*AA298+(1-AH$294)*Z298</f>
        <v>3.7871998102466788</v>
      </c>
      <c r="AI298" s="196">
        <f t="shared" ref="AI298:AI306" si="179">AH$294*AB298+(1-AH$294)*AC298</f>
        <v>10.451741840607211</v>
      </c>
      <c r="AJ298" s="143">
        <f t="shared" ref="AJ298:AJ306" si="180">AH$294*AE298+(1-AH$294)*AD298</f>
        <v>3.9114084857685008</v>
      </c>
      <c r="AK298" s="196">
        <f t="shared" ref="AK298:AK306" si="181">AH$294*AF298+(1-AH$294)*AG298</f>
        <v>10.132559772296016</v>
      </c>
      <c r="AL298" s="143">
        <f t="shared" ref="AL298:AL306" si="182">(AH298+AI298)/2</f>
        <v>7.1194708254269443</v>
      </c>
      <c r="AM298" s="196">
        <f t="shared" ref="AM298:AM306" si="183">(AJ298+AK298)/2</f>
        <v>7.0219841290322584</v>
      </c>
      <c r="AN298" s="197">
        <f t="shared" ref="AN298:AN306" si="184">(AL298+AM298)/2</f>
        <v>7.0707274772296014</v>
      </c>
    </row>
    <row r="299" spans="1:40" x14ac:dyDescent="0.25">
      <c r="A299" s="98" t="s">
        <v>15</v>
      </c>
      <c r="B299" s="135">
        <f t="shared" si="171"/>
        <v>1.3518049472295515</v>
      </c>
      <c r="C299" s="129">
        <f t="shared" ref="C299:I299" si="185">C285*$B271</f>
        <v>2.499913258575198</v>
      </c>
      <c r="D299" s="129">
        <f t="shared" si="185"/>
        <v>4.2776293535620056</v>
      </c>
      <c r="E299" s="136">
        <f t="shared" si="185"/>
        <v>6.7219889841688651</v>
      </c>
      <c r="F299" s="135">
        <f t="shared" si="185"/>
        <v>1.710378364116095</v>
      </c>
      <c r="G299" s="129">
        <f t="shared" si="185"/>
        <v>2.499913258575198</v>
      </c>
      <c r="H299" s="129">
        <f t="shared" si="185"/>
        <v>4.2776293535620056</v>
      </c>
      <c r="I299" s="137">
        <f t="shared" si="185"/>
        <v>5.8886845646437989</v>
      </c>
      <c r="J299" s="135">
        <f t="shared" si="173"/>
        <v>1.9507757255936675</v>
      </c>
      <c r="K299" s="129">
        <f t="shared" ref="K299:Q299" si="186">K285*$C271</f>
        <v>3.5608337730870714</v>
      </c>
      <c r="L299" s="129">
        <f t="shared" si="186"/>
        <v>4.915687598944591</v>
      </c>
      <c r="M299" s="136">
        <f t="shared" si="186"/>
        <v>6.7635799472295517</v>
      </c>
      <c r="N299" s="135">
        <f t="shared" si="186"/>
        <v>2.4357973614775719</v>
      </c>
      <c r="O299" s="129">
        <f t="shared" si="186"/>
        <v>3.5608337730870714</v>
      </c>
      <c r="P299" s="129">
        <f t="shared" si="186"/>
        <v>4.915687598944591</v>
      </c>
      <c r="Q299" s="137">
        <f t="shared" si="186"/>
        <v>6.1355905013192613</v>
      </c>
      <c r="R299" s="135">
        <f t="shared" si="175"/>
        <v>1.9110946569920844</v>
      </c>
      <c r="S299" s="129">
        <f t="shared" ref="S299:Y299" si="187">S285*$D271</f>
        <v>3.742972955145119</v>
      </c>
      <c r="T299" s="129">
        <f t="shared" si="187"/>
        <v>5.5332626649076522</v>
      </c>
      <c r="U299" s="136">
        <f t="shared" si="187"/>
        <v>8.0444212401055424</v>
      </c>
      <c r="V299" s="135">
        <f t="shared" si="187"/>
        <v>2.4755112137203161</v>
      </c>
      <c r="W299" s="129">
        <f t="shared" si="187"/>
        <v>3.742972955145119</v>
      </c>
      <c r="X299" s="129">
        <f t="shared" si="187"/>
        <v>5.5332626649076522</v>
      </c>
      <c r="Y299" s="137">
        <f t="shared" si="187"/>
        <v>7.1928453825857508</v>
      </c>
      <c r="Z299" s="135">
        <f t="shared" si="177"/>
        <v>5.2136753298153033</v>
      </c>
      <c r="AA299" s="129">
        <f t="shared" si="170"/>
        <v>9.8037199868073888</v>
      </c>
      <c r="AB299" s="129">
        <f t="shared" si="170"/>
        <v>14.726579617414249</v>
      </c>
      <c r="AC299" s="136">
        <f t="shared" si="170"/>
        <v>21.529990171503961</v>
      </c>
      <c r="AD299" s="135">
        <f t="shared" si="170"/>
        <v>6.6216869393139826</v>
      </c>
      <c r="AE299" s="129">
        <f t="shared" si="170"/>
        <v>9.8037199868073888</v>
      </c>
      <c r="AF299" s="129">
        <f t="shared" si="170"/>
        <v>14.726579617414249</v>
      </c>
      <c r="AG299" s="137">
        <f t="shared" si="170"/>
        <v>19.217120448548812</v>
      </c>
      <c r="AH299" s="143">
        <f t="shared" si="178"/>
        <v>8.8857110554089722</v>
      </c>
      <c r="AI299" s="196">
        <f t="shared" si="179"/>
        <v>16.087261728232193</v>
      </c>
      <c r="AJ299" s="143">
        <f t="shared" si="180"/>
        <v>9.167313377308707</v>
      </c>
      <c r="AK299" s="196">
        <f t="shared" si="181"/>
        <v>15.624687783641162</v>
      </c>
      <c r="AL299" s="143">
        <f t="shared" si="182"/>
        <v>12.486486391820582</v>
      </c>
      <c r="AM299" s="196">
        <f t="shared" si="183"/>
        <v>12.396000580474935</v>
      </c>
      <c r="AN299" s="197">
        <f t="shared" si="184"/>
        <v>12.441243486147759</v>
      </c>
    </row>
    <row r="300" spans="1:40" x14ac:dyDescent="0.25">
      <c r="A300" s="98" t="s">
        <v>16</v>
      </c>
      <c r="B300" s="135">
        <f t="shared" si="171"/>
        <v>2.0489932533733133</v>
      </c>
      <c r="C300" s="129">
        <f t="shared" ref="C300:I300" si="188">C286*$B272</f>
        <v>3.8350625937031477</v>
      </c>
      <c r="D300" s="129">
        <f t="shared" si="188"/>
        <v>5.2747976761619189</v>
      </c>
      <c r="E300" s="136">
        <f t="shared" si="188"/>
        <v>7.3654961019490237</v>
      </c>
      <c r="F300" s="135">
        <f t="shared" si="188"/>
        <v>2.5929737631184406</v>
      </c>
      <c r="G300" s="129">
        <f t="shared" si="188"/>
        <v>3.8350625937031477</v>
      </c>
      <c r="H300" s="129">
        <f t="shared" si="188"/>
        <v>5.2747976761619189</v>
      </c>
      <c r="I300" s="137">
        <f t="shared" si="188"/>
        <v>6.6583214392803587</v>
      </c>
      <c r="J300" s="135">
        <f t="shared" si="173"/>
        <v>2.0854766491754124</v>
      </c>
      <c r="K300" s="129">
        <f t="shared" ref="K300:Q300" si="189">K286*$C272</f>
        <v>4.0182332833583212</v>
      </c>
      <c r="L300" s="129">
        <f t="shared" si="189"/>
        <v>5.6268841079460259</v>
      </c>
      <c r="M300" s="136">
        <f t="shared" si="189"/>
        <v>7.581700299850076</v>
      </c>
      <c r="N300" s="135">
        <f t="shared" si="189"/>
        <v>2.5792713643178402</v>
      </c>
      <c r="O300" s="129">
        <f t="shared" si="189"/>
        <v>4.0182332833583212</v>
      </c>
      <c r="P300" s="129">
        <f t="shared" si="189"/>
        <v>5.6268841079460259</v>
      </c>
      <c r="Q300" s="137">
        <f t="shared" si="189"/>
        <v>6.9334886806596696</v>
      </c>
      <c r="R300" s="135">
        <f t="shared" si="175"/>
        <v>0.65404089205397298</v>
      </c>
      <c r="S300" s="129">
        <f t="shared" ref="S300:Y300" si="190">S286*$D272</f>
        <v>1.7922806221889052</v>
      </c>
      <c r="T300" s="129">
        <f t="shared" si="190"/>
        <v>3.2046513868065967</v>
      </c>
      <c r="U300" s="136">
        <f t="shared" si="190"/>
        <v>4.831559482758621</v>
      </c>
      <c r="V300" s="135">
        <f t="shared" si="190"/>
        <v>0.93115161169415306</v>
      </c>
      <c r="W300" s="129">
        <f t="shared" si="190"/>
        <v>1.7922806221889052</v>
      </c>
      <c r="X300" s="129">
        <f t="shared" si="190"/>
        <v>3.2046513868065967</v>
      </c>
      <c r="Y300" s="137">
        <f t="shared" si="190"/>
        <v>4.2996856821589207</v>
      </c>
      <c r="Z300" s="135">
        <f t="shared" si="177"/>
        <v>4.7885107946026988</v>
      </c>
      <c r="AA300" s="129">
        <f t="shared" si="170"/>
        <v>9.6455764992503745</v>
      </c>
      <c r="AB300" s="129">
        <f t="shared" si="170"/>
        <v>14.106333170914542</v>
      </c>
      <c r="AC300" s="136">
        <f t="shared" si="170"/>
        <v>19.778755884557722</v>
      </c>
      <c r="AD300" s="135">
        <f t="shared" si="170"/>
        <v>6.1033967391304333</v>
      </c>
      <c r="AE300" s="129">
        <f t="shared" si="170"/>
        <v>9.6455764992503745</v>
      </c>
      <c r="AF300" s="129">
        <f t="shared" si="170"/>
        <v>14.106333170914542</v>
      </c>
      <c r="AG300" s="137">
        <f t="shared" si="170"/>
        <v>17.891495802098948</v>
      </c>
      <c r="AH300" s="143">
        <f t="shared" si="178"/>
        <v>8.6741633583208397</v>
      </c>
      <c r="AI300" s="196">
        <f t="shared" si="179"/>
        <v>15.240817713643178</v>
      </c>
      <c r="AJ300" s="143">
        <f t="shared" si="180"/>
        <v>8.9371405472263863</v>
      </c>
      <c r="AK300" s="196">
        <f t="shared" si="181"/>
        <v>14.863365697151423</v>
      </c>
      <c r="AL300" s="143">
        <f t="shared" si="182"/>
        <v>11.957490535982009</v>
      </c>
      <c r="AM300" s="196">
        <f t="shared" si="183"/>
        <v>11.900253122188904</v>
      </c>
      <c r="AN300" s="197">
        <f t="shared" si="184"/>
        <v>11.928871829085455</v>
      </c>
    </row>
    <row r="301" spans="1:40" x14ac:dyDescent="0.25">
      <c r="A301" s="98" t="s">
        <v>18</v>
      </c>
      <c r="B301" s="135">
        <f t="shared" si="171"/>
        <v>1.6647757496740547</v>
      </c>
      <c r="C301" s="129">
        <f t="shared" ref="C301:I301" si="191">C287*$B273</f>
        <v>3.1144400260756195</v>
      </c>
      <c r="D301" s="129">
        <f t="shared" si="191"/>
        <v>5.0111620599739242</v>
      </c>
      <c r="E301" s="136">
        <f t="shared" si="191"/>
        <v>7.598111342894394</v>
      </c>
      <c r="F301" s="135">
        <f t="shared" si="191"/>
        <v>2.1193156453715778</v>
      </c>
      <c r="G301" s="129">
        <f t="shared" si="191"/>
        <v>3.1144400260756195</v>
      </c>
      <c r="H301" s="129">
        <f t="shared" si="191"/>
        <v>5.0111620599739242</v>
      </c>
      <c r="I301" s="137">
        <f t="shared" si="191"/>
        <v>6.7189601043024769</v>
      </c>
      <c r="J301" s="135">
        <f t="shared" si="173"/>
        <v>1.9238878748370274</v>
      </c>
      <c r="K301" s="129">
        <f t="shared" ref="K301:Q301" si="192">K287*$C273</f>
        <v>3.5117542372881356</v>
      </c>
      <c r="L301" s="129">
        <f t="shared" si="192"/>
        <v>4.8479338983050839</v>
      </c>
      <c r="M301" s="136">
        <f t="shared" si="192"/>
        <v>6.670356453715776</v>
      </c>
      <c r="N301" s="135">
        <f t="shared" si="192"/>
        <v>2.4022243807040411</v>
      </c>
      <c r="O301" s="129">
        <f t="shared" si="192"/>
        <v>3.5117542372881356</v>
      </c>
      <c r="P301" s="129">
        <f t="shared" si="192"/>
        <v>4.8479338983050839</v>
      </c>
      <c r="Q301" s="137">
        <f t="shared" si="192"/>
        <v>6.0510226857887872</v>
      </c>
      <c r="R301" s="135">
        <f t="shared" si="175"/>
        <v>0.93123129074315514</v>
      </c>
      <c r="S301" s="129">
        <f t="shared" ref="S301:Y301" si="193">S287*$D273</f>
        <v>2.5871561929595828</v>
      </c>
      <c r="T301" s="129">
        <f t="shared" si="193"/>
        <v>4.1053893089960889</v>
      </c>
      <c r="U301" s="136">
        <f t="shared" si="193"/>
        <v>5.8754534550195565</v>
      </c>
      <c r="V301" s="135">
        <f t="shared" si="193"/>
        <v>1.3443066492829201</v>
      </c>
      <c r="W301" s="129">
        <f t="shared" si="193"/>
        <v>2.5871561929595828</v>
      </c>
      <c r="X301" s="129">
        <f t="shared" si="193"/>
        <v>4.1053893089960889</v>
      </c>
      <c r="Y301" s="137">
        <f t="shared" si="193"/>
        <v>5.3011337679269888</v>
      </c>
      <c r="Z301" s="135">
        <f t="shared" si="177"/>
        <v>4.5198949152542376</v>
      </c>
      <c r="AA301" s="129">
        <f t="shared" si="170"/>
        <v>9.2133504563233384</v>
      </c>
      <c r="AB301" s="129">
        <f t="shared" si="170"/>
        <v>13.964485267275098</v>
      </c>
      <c r="AC301" s="136">
        <f t="shared" si="170"/>
        <v>20.143921251629727</v>
      </c>
      <c r="AD301" s="135">
        <f t="shared" si="170"/>
        <v>5.8658466753585392</v>
      </c>
      <c r="AE301" s="129">
        <f t="shared" si="170"/>
        <v>9.2133504563233384</v>
      </c>
      <c r="AF301" s="129">
        <f t="shared" si="170"/>
        <v>13.964485267275098</v>
      </c>
      <c r="AG301" s="137">
        <f t="shared" si="170"/>
        <v>18.071116558018254</v>
      </c>
      <c r="AH301" s="143">
        <f t="shared" si="178"/>
        <v>8.2746593481095196</v>
      </c>
      <c r="AI301" s="196">
        <f t="shared" si="179"/>
        <v>15.200372464146024</v>
      </c>
      <c r="AJ301" s="143">
        <f t="shared" si="180"/>
        <v>8.5438497001303784</v>
      </c>
      <c r="AK301" s="196">
        <f t="shared" si="181"/>
        <v>14.78581152542373</v>
      </c>
      <c r="AL301" s="143">
        <f t="shared" si="182"/>
        <v>11.737515906127772</v>
      </c>
      <c r="AM301" s="196">
        <f t="shared" si="183"/>
        <v>11.664830612777054</v>
      </c>
      <c r="AN301" s="197">
        <f t="shared" si="184"/>
        <v>11.701173259452414</v>
      </c>
    </row>
    <row r="302" spans="1:40" x14ac:dyDescent="0.25">
      <c r="A302" s="98" t="s">
        <v>19</v>
      </c>
      <c r="B302" s="135">
        <f t="shared" si="171"/>
        <v>1.6835598602901669</v>
      </c>
      <c r="C302" s="129">
        <f t="shared" ref="C302:I302" si="194">C288*$B274</f>
        <v>3.4045737775389573</v>
      </c>
      <c r="D302" s="129">
        <f t="shared" si="194"/>
        <v>4.7679014508328859</v>
      </c>
      <c r="E302" s="136">
        <f t="shared" si="194"/>
        <v>6.4945334766254694</v>
      </c>
      <c r="F302" s="135">
        <f t="shared" si="194"/>
        <v>2.1105361096184843</v>
      </c>
      <c r="G302" s="129">
        <f t="shared" si="194"/>
        <v>3.4045737775389573</v>
      </c>
      <c r="H302" s="129">
        <f t="shared" si="194"/>
        <v>4.7679014508328859</v>
      </c>
      <c r="I302" s="137">
        <f t="shared" si="194"/>
        <v>5.9289772165502415</v>
      </c>
      <c r="J302" s="135">
        <f t="shared" si="173"/>
        <v>1.8944166577109078</v>
      </c>
      <c r="K302" s="129">
        <f t="shared" ref="K302:Q302" si="195">K288*$C274</f>
        <v>3.6501046749059642</v>
      </c>
      <c r="L302" s="129">
        <f t="shared" si="195"/>
        <v>5.1113796883396008</v>
      </c>
      <c r="M302" s="136">
        <f t="shared" si="195"/>
        <v>6.8871062869425037</v>
      </c>
      <c r="N302" s="135">
        <f t="shared" si="195"/>
        <v>2.3429725953788276</v>
      </c>
      <c r="O302" s="129">
        <f t="shared" si="195"/>
        <v>3.6501046749059642</v>
      </c>
      <c r="P302" s="129">
        <f t="shared" si="195"/>
        <v>5.1113796883396008</v>
      </c>
      <c r="Q302" s="137">
        <f t="shared" si="195"/>
        <v>6.2982802794196662</v>
      </c>
      <c r="R302" s="135">
        <f t="shared" si="175"/>
        <v>0.36633546480386903</v>
      </c>
      <c r="S302" s="129">
        <f t="shared" ref="S302:Y302" si="196">S288*$D274</f>
        <v>1.4130082213863517</v>
      </c>
      <c r="T302" s="129">
        <f t="shared" si="196"/>
        <v>2.8783500806018281</v>
      </c>
      <c r="U302" s="136">
        <f t="shared" si="196"/>
        <v>4.448359215475552</v>
      </c>
      <c r="V302" s="135">
        <f t="shared" si="196"/>
        <v>0.57693871037076883</v>
      </c>
      <c r="W302" s="129">
        <f t="shared" si="196"/>
        <v>1.4130082213863517</v>
      </c>
      <c r="X302" s="129">
        <f t="shared" si="196"/>
        <v>2.8783500806018281</v>
      </c>
      <c r="Y302" s="137">
        <f t="shared" si="196"/>
        <v>3.9424673831273527</v>
      </c>
      <c r="Z302" s="135">
        <f t="shared" si="177"/>
        <v>3.9443119828049436</v>
      </c>
      <c r="AA302" s="129">
        <f t="shared" si="170"/>
        <v>8.4676866738312739</v>
      </c>
      <c r="AB302" s="129">
        <f t="shared" si="170"/>
        <v>12.757631219774316</v>
      </c>
      <c r="AC302" s="136">
        <f t="shared" si="170"/>
        <v>17.829998979043523</v>
      </c>
      <c r="AD302" s="135">
        <f t="shared" si="170"/>
        <v>5.03044741536808</v>
      </c>
      <c r="AE302" s="129">
        <f t="shared" si="170"/>
        <v>8.4676866738312739</v>
      </c>
      <c r="AF302" s="129">
        <f t="shared" si="170"/>
        <v>12.757631219774316</v>
      </c>
      <c r="AG302" s="137">
        <f t="shared" si="170"/>
        <v>16.169724879097259</v>
      </c>
      <c r="AH302" s="143">
        <f t="shared" si="178"/>
        <v>7.5630117356260076</v>
      </c>
      <c r="AI302" s="196">
        <f t="shared" si="179"/>
        <v>13.772104771628157</v>
      </c>
      <c r="AJ302" s="143">
        <f t="shared" si="180"/>
        <v>7.7802388221386352</v>
      </c>
      <c r="AK302" s="196">
        <f t="shared" si="181"/>
        <v>13.440049951638905</v>
      </c>
      <c r="AL302" s="143">
        <f t="shared" si="182"/>
        <v>10.667558253627082</v>
      </c>
      <c r="AM302" s="196">
        <f t="shared" si="183"/>
        <v>10.61014438688877</v>
      </c>
      <c r="AN302" s="197">
        <f t="shared" si="184"/>
        <v>10.638851320257926</v>
      </c>
    </row>
    <row r="303" spans="1:40" x14ac:dyDescent="0.25">
      <c r="A303" s="98" t="s">
        <v>20</v>
      </c>
      <c r="B303" s="135">
        <f t="shared" si="171"/>
        <v>1.6178823321554774</v>
      </c>
      <c r="C303" s="129">
        <f t="shared" ref="C303:I303" si="197">C289*$B275</f>
        <v>3.2717575971731447</v>
      </c>
      <c r="D303" s="129">
        <f t="shared" si="197"/>
        <v>4.5819003533568905</v>
      </c>
      <c r="E303" s="136">
        <f t="shared" si="197"/>
        <v>6.2411745583038867</v>
      </c>
      <c r="F303" s="135">
        <f t="shared" si="197"/>
        <v>2.0282017667844521</v>
      </c>
      <c r="G303" s="129">
        <f t="shared" si="197"/>
        <v>3.2717575971731447</v>
      </c>
      <c r="H303" s="129">
        <f t="shared" si="197"/>
        <v>4.5819003533568905</v>
      </c>
      <c r="I303" s="137">
        <f t="shared" si="197"/>
        <v>5.6976812720848056</v>
      </c>
      <c r="J303" s="135">
        <f t="shared" si="173"/>
        <v>1.7478146054181392</v>
      </c>
      <c r="K303" s="129">
        <f t="shared" ref="K303:Q303" si="198">K289*$C275</f>
        <v>3.3676362779740878</v>
      </c>
      <c r="L303" s="129">
        <f t="shared" si="198"/>
        <v>4.7158285041224968</v>
      </c>
      <c r="M303" s="136">
        <f t="shared" si="198"/>
        <v>6.3541380447585407</v>
      </c>
      <c r="N303" s="135">
        <f t="shared" si="198"/>
        <v>2.1616584216725556</v>
      </c>
      <c r="O303" s="129">
        <f t="shared" si="198"/>
        <v>3.3676362779740878</v>
      </c>
      <c r="P303" s="129">
        <f t="shared" si="198"/>
        <v>4.7158285041224968</v>
      </c>
      <c r="Q303" s="137">
        <f t="shared" si="198"/>
        <v>5.8108791519434631</v>
      </c>
      <c r="R303" s="135">
        <f t="shared" si="175"/>
        <v>0.78063404004711445</v>
      </c>
      <c r="S303" s="129">
        <f t="shared" ref="S303:Y303" si="199">S289*$D275</f>
        <v>2.1391862190812723</v>
      </c>
      <c r="T303" s="129">
        <f t="shared" si="199"/>
        <v>3.8249289752650184</v>
      </c>
      <c r="U303" s="136">
        <f t="shared" si="199"/>
        <v>5.7667339222614862</v>
      </c>
      <c r="V303" s="135">
        <f t="shared" si="199"/>
        <v>1.1113810365135457</v>
      </c>
      <c r="W303" s="129">
        <f t="shared" si="199"/>
        <v>2.1391862190812723</v>
      </c>
      <c r="X303" s="129">
        <f t="shared" si="199"/>
        <v>3.8249289752650184</v>
      </c>
      <c r="Y303" s="137">
        <f t="shared" si="199"/>
        <v>5.1319130742049488</v>
      </c>
      <c r="Z303" s="135">
        <f t="shared" si="177"/>
        <v>4.1463309776207309</v>
      </c>
      <c r="AA303" s="129">
        <f t="shared" si="170"/>
        <v>8.7785800942285057</v>
      </c>
      <c r="AB303" s="129">
        <f t="shared" si="170"/>
        <v>13.122657832744407</v>
      </c>
      <c r="AC303" s="136">
        <f t="shared" si="170"/>
        <v>18.362046525323915</v>
      </c>
      <c r="AD303" s="135">
        <f t="shared" si="170"/>
        <v>5.3012412249705534</v>
      </c>
      <c r="AE303" s="129">
        <f t="shared" si="170"/>
        <v>8.7785800942285057</v>
      </c>
      <c r="AF303" s="129">
        <f t="shared" si="170"/>
        <v>13.122657832744407</v>
      </c>
      <c r="AG303" s="137">
        <f t="shared" si="170"/>
        <v>16.640473498233217</v>
      </c>
      <c r="AH303" s="143">
        <f>AH$294*AA303+(1-AH$294)*Z303</f>
        <v>7.8521302709069509</v>
      </c>
      <c r="AI303" s="196">
        <f t="shared" si="179"/>
        <v>14.170535571260309</v>
      </c>
      <c r="AJ303" s="143">
        <f t="shared" si="180"/>
        <v>8.083112320376916</v>
      </c>
      <c r="AK303" s="196">
        <f t="shared" si="181"/>
        <v>13.82622096584217</v>
      </c>
      <c r="AL303" s="143">
        <f t="shared" si="182"/>
        <v>11.01133292108363</v>
      </c>
      <c r="AM303" s="196">
        <f t="shared" si="183"/>
        <v>10.954666643109544</v>
      </c>
      <c r="AN303" s="197">
        <f t="shared" si="184"/>
        <v>10.982999782096588</v>
      </c>
    </row>
    <row r="304" spans="1:40" x14ac:dyDescent="0.25">
      <c r="A304" s="98" t="s">
        <v>21</v>
      </c>
      <c r="B304" s="135">
        <f t="shared" si="171"/>
        <v>1.7203846259437199</v>
      </c>
      <c r="C304" s="129">
        <f t="shared" ref="C304:I304" si="200">C290*$B276</f>
        <v>3.3851674673987646</v>
      </c>
      <c r="D304" s="129">
        <f t="shared" si="200"/>
        <v>4.7948362388469459</v>
      </c>
      <c r="E304" s="136">
        <f t="shared" si="200"/>
        <v>6.7556168153740561</v>
      </c>
      <c r="F304" s="135">
        <f t="shared" si="200"/>
        <v>2.2355188057652708</v>
      </c>
      <c r="G304" s="129">
        <f t="shared" si="200"/>
        <v>3.3851674673987646</v>
      </c>
      <c r="H304" s="129">
        <f t="shared" si="200"/>
        <v>4.7948362388469459</v>
      </c>
      <c r="I304" s="137">
        <f t="shared" si="200"/>
        <v>6.0933014413177755</v>
      </c>
      <c r="J304" s="135">
        <f t="shared" si="173"/>
        <v>1.402244886753603</v>
      </c>
      <c r="K304" s="129">
        <f t="shared" ref="K304:Q304" si="201">K290*$C276</f>
        <v>3.2863037748798902</v>
      </c>
      <c r="L304" s="129">
        <f t="shared" si="201"/>
        <v>5.0440941660947143</v>
      </c>
      <c r="M304" s="136">
        <f t="shared" si="201"/>
        <v>7.049437268359644</v>
      </c>
      <c r="N304" s="135">
        <f t="shared" si="201"/>
        <v>1.8857203157172266</v>
      </c>
      <c r="O304" s="129">
        <f t="shared" si="201"/>
        <v>3.2863037748798902</v>
      </c>
      <c r="P304" s="129">
        <f t="shared" si="201"/>
        <v>5.0440941660947143</v>
      </c>
      <c r="Q304" s="137">
        <f t="shared" si="201"/>
        <v>6.3898505147563487</v>
      </c>
      <c r="R304" s="135">
        <f t="shared" si="175"/>
        <v>1.5312000000000006</v>
      </c>
      <c r="S304" s="129">
        <f t="shared" ref="S304:Y304" si="202">S290*$D276</f>
        <v>3.0964645161290325</v>
      </c>
      <c r="T304" s="129">
        <f t="shared" si="202"/>
        <v>4.3364129032258072</v>
      </c>
      <c r="U304" s="136">
        <f t="shared" si="202"/>
        <v>5.9067870967741944</v>
      </c>
      <c r="V304" s="135">
        <f t="shared" si="202"/>
        <v>1.9195354838709677</v>
      </c>
      <c r="W304" s="129">
        <f t="shared" si="202"/>
        <v>3.0964645161290325</v>
      </c>
      <c r="X304" s="129">
        <f t="shared" si="202"/>
        <v>4.3364129032258072</v>
      </c>
      <c r="Y304" s="137">
        <f t="shared" si="202"/>
        <v>5.3924129032258072</v>
      </c>
      <c r="Z304" s="135">
        <f t="shared" si="177"/>
        <v>4.6538295126973228</v>
      </c>
      <c r="AA304" s="129">
        <f t="shared" si="170"/>
        <v>9.7679357584076865</v>
      </c>
      <c r="AB304" s="129">
        <f t="shared" si="170"/>
        <v>14.175343308167466</v>
      </c>
      <c r="AC304" s="136">
        <f t="shared" si="170"/>
        <v>19.711841180507896</v>
      </c>
      <c r="AD304" s="135">
        <f t="shared" si="170"/>
        <v>6.0407746053534659</v>
      </c>
      <c r="AE304" s="129">
        <f t="shared" si="170"/>
        <v>9.7679357584076865</v>
      </c>
      <c r="AF304" s="129">
        <f t="shared" si="170"/>
        <v>14.175343308167466</v>
      </c>
      <c r="AG304" s="137">
        <f t="shared" si="170"/>
        <v>17.875564859299931</v>
      </c>
      <c r="AH304" s="143">
        <f t="shared" si="178"/>
        <v>8.7451145092656137</v>
      </c>
      <c r="AI304" s="196">
        <f t="shared" si="179"/>
        <v>15.282642882635553</v>
      </c>
      <c r="AJ304" s="143">
        <f t="shared" si="180"/>
        <v>9.0225035277968431</v>
      </c>
      <c r="AK304" s="196">
        <f t="shared" si="181"/>
        <v>14.915387618393959</v>
      </c>
      <c r="AL304" s="143">
        <f t="shared" si="182"/>
        <v>12.013878695950584</v>
      </c>
      <c r="AM304" s="196">
        <f t="shared" si="183"/>
        <v>11.9689455730954</v>
      </c>
      <c r="AN304" s="197">
        <f t="shared" si="184"/>
        <v>11.991412134522992</v>
      </c>
    </row>
    <row r="305" spans="1:40" x14ac:dyDescent="0.25">
      <c r="A305" s="98" t="s">
        <v>23</v>
      </c>
      <c r="B305" s="135">
        <f t="shared" si="171"/>
        <v>1.5635034400239307</v>
      </c>
      <c r="C305" s="129">
        <f t="shared" ref="C305:I305" si="203">C291*$B277</f>
        <v>2.924981154651511</v>
      </c>
      <c r="D305" s="129">
        <f t="shared" si="203"/>
        <v>4.7063210290158537</v>
      </c>
      <c r="E305" s="136">
        <f t="shared" si="203"/>
        <v>7.1358999700867498</v>
      </c>
      <c r="F305" s="135">
        <f t="shared" si="203"/>
        <v>1.990392581513611</v>
      </c>
      <c r="G305" s="129">
        <f t="shared" si="203"/>
        <v>2.924981154651511</v>
      </c>
      <c r="H305" s="129">
        <f t="shared" si="203"/>
        <v>4.7063210290158537</v>
      </c>
      <c r="I305" s="137">
        <f t="shared" si="203"/>
        <v>6.3102296141190557</v>
      </c>
      <c r="J305" s="135">
        <f t="shared" si="173"/>
        <v>1.575615524977565</v>
      </c>
      <c r="K305" s="129">
        <f t="shared" ref="K305:Q305" si="204">K291*$C277</f>
        <v>3.4401199222255454</v>
      </c>
      <c r="L305" s="129">
        <f t="shared" si="204"/>
        <v>4.9204801974274597</v>
      </c>
      <c r="M305" s="136">
        <f t="shared" si="204"/>
        <v>6.625705324558778</v>
      </c>
      <c r="N305" s="135">
        <f t="shared" si="204"/>
        <v>2.0534533353275495</v>
      </c>
      <c r="O305" s="129">
        <f t="shared" si="204"/>
        <v>3.4401199222255454</v>
      </c>
      <c r="P305" s="129">
        <f t="shared" si="204"/>
        <v>4.9204801974274597</v>
      </c>
      <c r="Q305" s="137">
        <f t="shared" si="204"/>
        <v>6.0682278791504638</v>
      </c>
      <c r="R305" s="135">
        <f t="shared" si="175"/>
        <v>0.86439024827998789</v>
      </c>
      <c r="S305" s="129">
        <f t="shared" ref="S305:Y305" si="205">S291*$D277</f>
        <v>2.4014577325755306</v>
      </c>
      <c r="T305" s="129">
        <f t="shared" si="205"/>
        <v>3.8107165420281182</v>
      </c>
      <c r="U305" s="136">
        <f t="shared" si="205"/>
        <v>5.4537306909961112</v>
      </c>
      <c r="V305" s="135">
        <f t="shared" si="205"/>
        <v>1.247816272808854</v>
      </c>
      <c r="W305" s="129">
        <f t="shared" si="205"/>
        <v>2.4014577325755306</v>
      </c>
      <c r="X305" s="129">
        <f t="shared" si="205"/>
        <v>3.8107165420281182</v>
      </c>
      <c r="Y305" s="137">
        <f t="shared" si="205"/>
        <v>4.9206339814537836</v>
      </c>
      <c r="Z305" s="135">
        <f t="shared" si="177"/>
        <v>4.0035092132814833</v>
      </c>
      <c r="AA305" s="129">
        <f t="shared" si="170"/>
        <v>8.7665588094525866</v>
      </c>
      <c r="AB305" s="129">
        <f t="shared" si="170"/>
        <v>13.43751776847143</v>
      </c>
      <c r="AC305" s="136">
        <f t="shared" si="170"/>
        <v>19.215335985641637</v>
      </c>
      <c r="AD305" s="135">
        <f t="shared" si="170"/>
        <v>5.2916621896500144</v>
      </c>
      <c r="AE305" s="129">
        <f t="shared" si="170"/>
        <v>8.7665588094525866</v>
      </c>
      <c r="AF305" s="129">
        <f t="shared" si="170"/>
        <v>13.43751776847143</v>
      </c>
      <c r="AG305" s="137">
        <f t="shared" si="170"/>
        <v>17.299091474723301</v>
      </c>
      <c r="AH305" s="143">
        <f t="shared" si="178"/>
        <v>7.8139488902183665</v>
      </c>
      <c r="AI305" s="196">
        <f t="shared" si="179"/>
        <v>14.593081411905473</v>
      </c>
      <c r="AJ305" s="143">
        <f t="shared" si="180"/>
        <v>8.071579485492073</v>
      </c>
      <c r="AK305" s="196">
        <f t="shared" si="181"/>
        <v>14.209832509721805</v>
      </c>
      <c r="AL305" s="143">
        <f t="shared" si="182"/>
        <v>11.20351515106192</v>
      </c>
      <c r="AM305" s="196">
        <f t="shared" si="183"/>
        <v>11.14070599760694</v>
      </c>
      <c r="AN305" s="197">
        <f t="shared" si="184"/>
        <v>11.172110574334429</v>
      </c>
    </row>
    <row r="306" spans="1:40" x14ac:dyDescent="0.25">
      <c r="A306" s="99" t="s">
        <v>24</v>
      </c>
      <c r="B306" s="138">
        <f t="shared" si="171"/>
        <v>0.65649530112508281</v>
      </c>
      <c r="C306" s="139">
        <f t="shared" ref="C306:I306" si="206">C292*$B278</f>
        <v>1.7990064857710126</v>
      </c>
      <c r="D306" s="139">
        <f t="shared" si="206"/>
        <v>3.2166774321641292</v>
      </c>
      <c r="E306" s="140">
        <f t="shared" si="206"/>
        <v>4.8496908007941757</v>
      </c>
      <c r="F306" s="138">
        <f t="shared" si="206"/>
        <v>0.93464592984778316</v>
      </c>
      <c r="G306" s="139">
        <f t="shared" si="206"/>
        <v>1.7990064857710126</v>
      </c>
      <c r="H306" s="139">
        <f t="shared" si="206"/>
        <v>3.2166774321641292</v>
      </c>
      <c r="I306" s="141">
        <f t="shared" si="206"/>
        <v>4.3158210456651229</v>
      </c>
      <c r="J306" s="138">
        <f t="shared" si="173"/>
        <v>1.5519635340833888</v>
      </c>
      <c r="K306" s="139">
        <f t="shared" ref="K306:Q306" si="207">K292*$C278</f>
        <v>3.3884793514228995</v>
      </c>
      <c r="L306" s="139">
        <f t="shared" si="207"/>
        <v>4.8466175380542689</v>
      </c>
      <c r="M306" s="140">
        <f t="shared" si="207"/>
        <v>6.5262450694904039</v>
      </c>
      <c r="N306" s="138">
        <f t="shared" si="207"/>
        <v>2.0226283917935142</v>
      </c>
      <c r="O306" s="139">
        <f t="shared" si="207"/>
        <v>3.3884793514228995</v>
      </c>
      <c r="P306" s="139">
        <f t="shared" si="207"/>
        <v>4.8466175380542689</v>
      </c>
      <c r="Q306" s="141">
        <f t="shared" si="207"/>
        <v>5.9771360688285924</v>
      </c>
      <c r="R306" s="138">
        <f t="shared" si="175"/>
        <v>1.6596804765056252</v>
      </c>
      <c r="S306" s="139">
        <f t="shared" ref="S306:Y306" si="208">S292*$D278</f>
        <v>3.457012177365983</v>
      </c>
      <c r="T306" s="139">
        <f t="shared" si="208"/>
        <v>5.1048939774983451</v>
      </c>
      <c r="U306" s="140">
        <f t="shared" si="208"/>
        <v>7.2620853077432157</v>
      </c>
      <c r="V306" s="138">
        <f t="shared" si="208"/>
        <v>2.1744960555923223</v>
      </c>
      <c r="W306" s="139">
        <f t="shared" si="208"/>
        <v>3.457012177365983</v>
      </c>
      <c r="X306" s="139">
        <f t="shared" si="208"/>
        <v>5.1048939774983451</v>
      </c>
      <c r="Y306" s="141">
        <f t="shared" si="208"/>
        <v>6.540399602911978</v>
      </c>
      <c r="Z306" s="138">
        <f t="shared" si="177"/>
        <v>3.8681393117140965</v>
      </c>
      <c r="AA306" s="139">
        <f t="shared" si="170"/>
        <v>8.6444980145598951</v>
      </c>
      <c r="AB306" s="139">
        <f t="shared" si="170"/>
        <v>13.168188947716743</v>
      </c>
      <c r="AC306" s="140">
        <f t="shared" si="170"/>
        <v>18.638021178027795</v>
      </c>
      <c r="AD306" s="138">
        <f t="shared" si="170"/>
        <v>5.1317703772336198</v>
      </c>
      <c r="AE306" s="139">
        <f t="shared" si="170"/>
        <v>8.6444980145598951</v>
      </c>
      <c r="AF306" s="139">
        <f t="shared" si="170"/>
        <v>13.168188947716743</v>
      </c>
      <c r="AG306" s="141">
        <f t="shared" si="170"/>
        <v>16.833356717405692</v>
      </c>
      <c r="AH306" s="144">
        <f t="shared" si="178"/>
        <v>7.6892262739907355</v>
      </c>
      <c r="AI306" s="145">
        <f t="shared" si="179"/>
        <v>14.262155393778952</v>
      </c>
      <c r="AJ306" s="144">
        <f t="shared" si="180"/>
        <v>7.9419524870946407</v>
      </c>
      <c r="AK306" s="145">
        <f t="shared" si="181"/>
        <v>13.901222501654534</v>
      </c>
      <c r="AL306" s="144">
        <f t="shared" si="182"/>
        <v>10.975690833884844</v>
      </c>
      <c r="AM306" s="145">
        <f t="shared" si="183"/>
        <v>10.921587494374588</v>
      </c>
      <c r="AN306" s="198">
        <f t="shared" si="184"/>
        <v>10.948639164129716</v>
      </c>
    </row>
    <row r="308" spans="1:40" ht="15.75" thickBot="1" x14ac:dyDescent="0.3">
      <c r="A308" s="1" t="s">
        <v>179</v>
      </c>
    </row>
    <row r="309" spans="1:40" x14ac:dyDescent="0.25">
      <c r="A309" s="233" t="s">
        <v>27</v>
      </c>
      <c r="B309" s="233" t="s">
        <v>167</v>
      </c>
      <c r="C309" s="233" t="s">
        <v>180</v>
      </c>
    </row>
    <row r="310" spans="1:40" ht="15.75" thickBot="1" x14ac:dyDescent="0.3">
      <c r="A310" s="249"/>
      <c r="B310" s="249"/>
      <c r="C310" s="249" t="s">
        <v>180</v>
      </c>
    </row>
    <row r="311" spans="1:40" x14ac:dyDescent="0.25">
      <c r="A311" s="181" t="s">
        <v>25</v>
      </c>
      <c r="B311" s="185">
        <v>12.732133729212656</v>
      </c>
      <c r="C311" s="185">
        <v>12.731999999999999</v>
      </c>
    </row>
    <row r="312" spans="1:40" x14ac:dyDescent="0.25">
      <c r="A312" s="98" t="s">
        <v>15</v>
      </c>
      <c r="B312" s="186">
        <v>12.441243486147759</v>
      </c>
      <c r="C312" s="186">
        <v>12.441000000000001</v>
      </c>
    </row>
    <row r="313" spans="1:40" x14ac:dyDescent="0.25">
      <c r="A313" s="98" t="s">
        <v>21</v>
      </c>
      <c r="B313" s="186">
        <v>11.991412134522992</v>
      </c>
      <c r="C313" s="186">
        <v>11.991</v>
      </c>
    </row>
    <row r="314" spans="1:40" x14ac:dyDescent="0.25">
      <c r="A314" s="98" t="s">
        <v>16</v>
      </c>
      <c r="B314" s="186">
        <v>11.928871829085455</v>
      </c>
      <c r="C314" s="186">
        <v>11.929</v>
      </c>
    </row>
    <row r="315" spans="1:40" x14ac:dyDescent="0.25">
      <c r="A315" s="98" t="s">
        <v>18</v>
      </c>
      <c r="B315" s="186">
        <v>11.701173259452414</v>
      </c>
      <c r="C315" s="186">
        <v>11.701000000000001</v>
      </c>
    </row>
    <row r="316" spans="1:40" x14ac:dyDescent="0.25">
      <c r="A316" s="98" t="s">
        <v>23</v>
      </c>
      <c r="B316" s="186">
        <v>11.172110574334429</v>
      </c>
      <c r="C316" s="186">
        <v>11.172000000000001</v>
      </c>
    </row>
    <row r="317" spans="1:40" x14ac:dyDescent="0.25">
      <c r="A317" s="98" t="s">
        <v>20</v>
      </c>
      <c r="B317" s="186">
        <v>10.982999782096588</v>
      </c>
      <c r="C317" s="186">
        <v>10.983000000000001</v>
      </c>
    </row>
    <row r="318" spans="1:40" x14ac:dyDescent="0.25">
      <c r="A318" s="98" t="s">
        <v>24</v>
      </c>
      <c r="B318" s="186">
        <v>10.948639164129716</v>
      </c>
      <c r="C318" s="186">
        <v>10.949</v>
      </c>
    </row>
    <row r="319" spans="1:40" x14ac:dyDescent="0.25">
      <c r="A319" s="98" t="s">
        <v>19</v>
      </c>
      <c r="B319" s="186">
        <v>10.638851320257926</v>
      </c>
      <c r="C319" s="186">
        <v>10.638999999999999</v>
      </c>
    </row>
    <row r="320" spans="1:40" ht="15.75" thickBot="1" x14ac:dyDescent="0.3">
      <c r="A320" s="99" t="s">
        <v>14</v>
      </c>
      <c r="B320" s="187">
        <v>7.0707274772296014</v>
      </c>
      <c r="C320" s="187">
        <v>7.0709999999999997</v>
      </c>
    </row>
    <row r="321" spans="1:3" x14ac:dyDescent="0.25">
      <c r="B321" s="128"/>
      <c r="C321" s="128"/>
    </row>
    <row r="322" spans="1:3" ht="15.75" thickBot="1" x14ac:dyDescent="0.3">
      <c r="B322" s="128"/>
      <c r="C322" s="128"/>
    </row>
    <row r="323" spans="1:3" ht="15" customHeight="1" x14ac:dyDescent="0.25">
      <c r="A323" s="233" t="s">
        <v>190</v>
      </c>
      <c r="B323" s="233" t="s">
        <v>225</v>
      </c>
      <c r="C323" s="128"/>
    </row>
    <row r="324" spans="1:3" ht="15" customHeight="1" thickBot="1" x14ac:dyDescent="0.3">
      <c r="A324" s="249"/>
      <c r="B324" s="249"/>
      <c r="C324" s="128"/>
    </row>
    <row r="325" spans="1:3" x14ac:dyDescent="0.25">
      <c r="A325" s="181" t="s">
        <v>25</v>
      </c>
      <c r="B325" s="185">
        <f>((AB297-AA297)+(AC297-Z297))/2</f>
        <v>9.4661764532744659</v>
      </c>
      <c r="C325" s="128"/>
    </row>
    <row r="326" spans="1:3" x14ac:dyDescent="0.25">
      <c r="A326" s="98" t="s">
        <v>14</v>
      </c>
      <c r="B326" s="186">
        <f t="shared" ref="B326:B334" si="209">((AB298-AA298)+(AC298-Z298))/2</f>
        <v>9.2285590607210644</v>
      </c>
      <c r="C326" s="128"/>
    </row>
    <row r="327" spans="1:3" x14ac:dyDescent="0.25">
      <c r="A327" s="98" t="s">
        <v>15</v>
      </c>
      <c r="B327" s="186">
        <f t="shared" si="209"/>
        <v>10.619587236147758</v>
      </c>
      <c r="C327" s="128"/>
    </row>
    <row r="328" spans="1:3" x14ac:dyDescent="0.25">
      <c r="A328" s="98" t="s">
        <v>16</v>
      </c>
      <c r="B328" s="186">
        <f t="shared" si="209"/>
        <v>9.7255008808095944</v>
      </c>
      <c r="C328" s="128"/>
    </row>
    <row r="329" spans="1:3" x14ac:dyDescent="0.25">
      <c r="A329" s="98" t="s">
        <v>18</v>
      </c>
      <c r="B329" s="186">
        <f t="shared" si="209"/>
        <v>10.187580573663624</v>
      </c>
      <c r="C329" s="128"/>
    </row>
    <row r="330" spans="1:3" x14ac:dyDescent="0.25">
      <c r="A330" s="98" t="s">
        <v>19</v>
      </c>
      <c r="B330" s="186">
        <f t="shared" si="209"/>
        <v>9.0878157710908098</v>
      </c>
      <c r="C330" s="128"/>
    </row>
    <row r="331" spans="1:3" x14ac:dyDescent="0.25">
      <c r="A331" s="98" t="s">
        <v>20</v>
      </c>
      <c r="B331" s="186">
        <f t="shared" si="209"/>
        <v>9.2798966431095415</v>
      </c>
      <c r="C331" s="128"/>
    </row>
    <row r="332" spans="1:3" x14ac:dyDescent="0.25">
      <c r="A332" s="98" t="s">
        <v>21</v>
      </c>
      <c r="B332" s="186">
        <f t="shared" si="209"/>
        <v>9.7327096087851768</v>
      </c>
      <c r="C332" s="128"/>
    </row>
    <row r="333" spans="1:3" x14ac:dyDescent="0.25">
      <c r="A333" s="98" t="s">
        <v>23</v>
      </c>
      <c r="B333" s="186">
        <f t="shared" si="209"/>
        <v>9.9413928656894992</v>
      </c>
      <c r="C333" s="128"/>
    </row>
    <row r="334" spans="1:3" ht="15.75" thickBot="1" x14ac:dyDescent="0.3">
      <c r="A334" s="99" t="s">
        <v>24</v>
      </c>
      <c r="B334" s="187">
        <f t="shared" si="209"/>
        <v>9.646786399735273</v>
      </c>
      <c r="C334" s="128"/>
    </row>
    <row r="335" spans="1:3" ht="15.75" thickBot="1" x14ac:dyDescent="0.3">
      <c r="C335" s="128"/>
    </row>
    <row r="336" spans="1:3" x14ac:dyDescent="0.25">
      <c r="A336" s="233" t="s">
        <v>191</v>
      </c>
      <c r="B336" s="233" t="s">
        <v>225</v>
      </c>
      <c r="C336" s="128"/>
    </row>
    <row r="337" spans="1:3" ht="15.75" thickBot="1" x14ac:dyDescent="0.3">
      <c r="A337" s="249"/>
      <c r="B337" s="249"/>
      <c r="C337" s="128"/>
    </row>
    <row r="338" spans="1:3" x14ac:dyDescent="0.25">
      <c r="A338" s="181" t="s">
        <v>25</v>
      </c>
      <c r="B338" s="185">
        <f>AC297-Z297</f>
        <v>14.867518763796909</v>
      </c>
      <c r="C338" s="128"/>
    </row>
    <row r="339" spans="1:3" x14ac:dyDescent="0.25">
      <c r="A339" s="98" t="s">
        <v>14</v>
      </c>
      <c r="B339" s="186">
        <f t="shared" ref="B339:B347" si="210">AC298-Z298</f>
        <v>13.501920777988616</v>
      </c>
      <c r="C339" s="128"/>
    </row>
    <row r="340" spans="1:3" x14ac:dyDescent="0.25">
      <c r="A340" s="98" t="s">
        <v>15</v>
      </c>
      <c r="B340" s="186">
        <f t="shared" si="210"/>
        <v>16.316314841688659</v>
      </c>
      <c r="C340" s="128"/>
    </row>
    <row r="341" spans="1:3" x14ac:dyDescent="0.25">
      <c r="A341" s="98" t="s">
        <v>16</v>
      </c>
      <c r="B341" s="186">
        <f t="shared" si="210"/>
        <v>14.990245089955023</v>
      </c>
      <c r="C341" s="128"/>
    </row>
    <row r="342" spans="1:3" x14ac:dyDescent="0.25">
      <c r="A342" s="98" t="s">
        <v>18</v>
      </c>
      <c r="B342" s="186">
        <f t="shared" si="210"/>
        <v>15.62402633637549</v>
      </c>
      <c r="C342" s="128"/>
    </row>
    <row r="343" spans="1:3" x14ac:dyDescent="0.25">
      <c r="A343" s="98" t="s">
        <v>19</v>
      </c>
      <c r="B343" s="186">
        <f t="shared" si="210"/>
        <v>13.885686996238579</v>
      </c>
      <c r="C343" s="128"/>
    </row>
    <row r="344" spans="1:3" x14ac:dyDescent="0.25">
      <c r="A344" s="98" t="s">
        <v>20</v>
      </c>
      <c r="B344" s="186">
        <f t="shared" si="210"/>
        <v>14.215715547703184</v>
      </c>
      <c r="C344" s="128"/>
    </row>
    <row r="345" spans="1:3" x14ac:dyDescent="0.25">
      <c r="A345" s="98" t="s">
        <v>21</v>
      </c>
      <c r="B345" s="186">
        <f t="shared" si="210"/>
        <v>15.058011667810574</v>
      </c>
      <c r="C345" s="128"/>
    </row>
    <row r="346" spans="1:3" x14ac:dyDescent="0.25">
      <c r="A346" s="98" t="s">
        <v>23</v>
      </c>
      <c r="B346" s="186">
        <f t="shared" si="210"/>
        <v>15.211826772360155</v>
      </c>
      <c r="C346" s="128"/>
    </row>
    <row r="347" spans="1:3" ht="15.75" thickBot="1" x14ac:dyDescent="0.3">
      <c r="A347" s="99" t="s">
        <v>24</v>
      </c>
      <c r="B347" s="187">
        <f t="shared" si="210"/>
        <v>14.7698818663137</v>
      </c>
      <c r="C347" s="128"/>
    </row>
    <row r="348" spans="1:3" x14ac:dyDescent="0.25">
      <c r="C348" s="128"/>
    </row>
  </sheetData>
  <sortState xmlns:xlrd2="http://schemas.microsoft.com/office/spreadsheetml/2017/richdata2" ref="A311:C320">
    <sortCondition descending="1" ref="B311:B320"/>
  </sortState>
  <mergeCells count="145">
    <mergeCell ref="A309:A310"/>
    <mergeCell ref="B309:B310"/>
    <mergeCell ref="AL295:AM295"/>
    <mergeCell ref="AN295:AN296"/>
    <mergeCell ref="B296:E296"/>
    <mergeCell ref="F296:I296"/>
    <mergeCell ref="J296:M296"/>
    <mergeCell ref="N296:Q296"/>
    <mergeCell ref="R296:U296"/>
    <mergeCell ref="V296:Y296"/>
    <mergeCell ref="Z296:AC296"/>
    <mergeCell ref="AD296:AG296"/>
    <mergeCell ref="A295:A296"/>
    <mergeCell ref="B295:I295"/>
    <mergeCell ref="J295:Q295"/>
    <mergeCell ref="R295:Y295"/>
    <mergeCell ref="Z295:AG295"/>
    <mergeCell ref="AH295:AK295"/>
    <mergeCell ref="AH296:AI296"/>
    <mergeCell ref="AJ296:AK296"/>
    <mergeCell ref="C309:C310"/>
    <mergeCell ref="A281:A282"/>
    <mergeCell ref="B281:I281"/>
    <mergeCell ref="J281:Q281"/>
    <mergeCell ref="R281:Y281"/>
    <mergeCell ref="B282:E282"/>
    <mergeCell ref="F282:I282"/>
    <mergeCell ref="J282:M282"/>
    <mergeCell ref="N282:Q282"/>
    <mergeCell ref="R282:U282"/>
    <mergeCell ref="V282:Y282"/>
    <mergeCell ref="F228:I228"/>
    <mergeCell ref="BG117:BJ117"/>
    <mergeCell ref="BK117:BN117"/>
    <mergeCell ref="BO117:BP117"/>
    <mergeCell ref="A116:A117"/>
    <mergeCell ref="B116:B117"/>
    <mergeCell ref="C116:C117"/>
    <mergeCell ref="D116:F116"/>
    <mergeCell ref="G116:I116"/>
    <mergeCell ref="E144:L144"/>
    <mergeCell ref="E150:L150"/>
    <mergeCell ref="AI117:AL117"/>
    <mergeCell ref="AM117:AP117"/>
    <mergeCell ref="AQ117:AT117"/>
    <mergeCell ref="AU117:AX117"/>
    <mergeCell ref="AY117:BB117"/>
    <mergeCell ref="BC117:BF117"/>
    <mergeCell ref="J116:J117"/>
    <mergeCell ref="BO116:BR116"/>
    <mergeCell ref="AY65:BB65"/>
    <mergeCell ref="BC65:BF65"/>
    <mergeCell ref="BG116:BN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Q117:BR117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G65:BJ65"/>
    <mergeCell ref="BK65:BN65"/>
    <mergeCell ref="BO65:BP65"/>
    <mergeCell ref="BQ65:BR65"/>
    <mergeCell ref="AI65:AL65"/>
    <mergeCell ref="AM65:AP65"/>
    <mergeCell ref="AQ65:AT65"/>
    <mergeCell ref="AU65:AX65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BO12:BR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323:A324"/>
    <mergeCell ref="B323:B324"/>
    <mergeCell ref="A336:A337"/>
    <mergeCell ref="B336:B337"/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E92:L92"/>
    <mergeCell ref="E98:L98"/>
    <mergeCell ref="A184:I184"/>
    <mergeCell ref="A185:D185"/>
    <mergeCell ref="F185:I185"/>
    <mergeCell ref="A227:I227"/>
    <mergeCell ref="A228:D228"/>
  </mergeCells>
  <hyperlinks>
    <hyperlink ref="B4" r:id="rId1" xr:uid="{1B632268-E00B-4ED1-9893-24DA965286E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U370"/>
  <sheetViews>
    <sheetView zoomScaleNormal="100" workbookViewId="0">
      <selection activeCell="C365" sqref="C365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23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203" t="s">
        <v>243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183</v>
      </c>
      <c r="B4" s="40" t="s">
        <v>38</v>
      </c>
      <c r="C4" s="37"/>
    </row>
    <row r="5" spans="1:73" ht="30" customHeight="1" x14ac:dyDescent="0.25">
      <c r="A5" s="246" t="s">
        <v>221</v>
      </c>
      <c r="B5" s="247"/>
      <c r="C5" s="247"/>
      <c r="D5" s="248"/>
      <c r="E5" s="248"/>
    </row>
    <row r="6" spans="1:73" ht="31.5" x14ac:dyDescent="0.25">
      <c r="A6" s="146" t="s">
        <v>181</v>
      </c>
      <c r="B6" s="147" t="s">
        <v>184</v>
      </c>
      <c r="C6" s="38"/>
    </row>
    <row r="7" spans="1:73" x14ac:dyDescent="0.25">
      <c r="A7" s="246" t="s">
        <v>222</v>
      </c>
      <c r="B7" s="247"/>
      <c r="C7" s="247"/>
      <c r="D7" s="248"/>
      <c r="E7" s="24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42" t="s">
        <v>26</v>
      </c>
      <c r="B12" s="242" t="s">
        <v>27</v>
      </c>
      <c r="C12" s="243" t="s">
        <v>28</v>
      </c>
      <c r="D12" s="244" t="s">
        <v>58</v>
      </c>
      <c r="E12" s="245"/>
      <c r="F12" s="245"/>
      <c r="G12" s="245" t="s">
        <v>59</v>
      </c>
      <c r="H12" s="245"/>
      <c r="I12" s="245"/>
      <c r="J12" s="240" t="s">
        <v>88</v>
      </c>
      <c r="K12" s="230" t="s">
        <v>81</v>
      </c>
      <c r="L12" s="231"/>
      <c r="M12" s="231"/>
      <c r="N12" s="231"/>
      <c r="O12" s="231"/>
      <c r="P12" s="231"/>
      <c r="Q12" s="231"/>
      <c r="R12" s="232"/>
      <c r="S12" s="230" t="s">
        <v>79</v>
      </c>
      <c r="T12" s="231"/>
      <c r="U12" s="231"/>
      <c r="V12" s="231"/>
      <c r="W12" s="231"/>
      <c r="X12" s="231"/>
      <c r="Y12" s="231"/>
      <c r="Z12" s="232"/>
      <c r="AA12" s="230" t="s">
        <v>80</v>
      </c>
      <c r="AB12" s="231"/>
      <c r="AC12" s="231"/>
      <c r="AD12" s="231"/>
      <c r="AE12" s="231"/>
      <c r="AF12" s="231"/>
      <c r="AG12" s="231"/>
      <c r="AH12" s="232"/>
      <c r="AI12" s="230" t="s">
        <v>78</v>
      </c>
      <c r="AJ12" s="231"/>
      <c r="AK12" s="231"/>
      <c r="AL12" s="231"/>
      <c r="AM12" s="231"/>
      <c r="AN12" s="231"/>
      <c r="AO12" s="231"/>
      <c r="AP12" s="232"/>
      <c r="AQ12" s="230" t="s">
        <v>89</v>
      </c>
      <c r="AR12" s="231"/>
      <c r="AS12" s="231"/>
      <c r="AT12" s="231"/>
      <c r="AU12" s="231"/>
      <c r="AV12" s="231"/>
      <c r="AW12" s="231"/>
      <c r="AX12" s="232"/>
      <c r="AY12" s="230" t="s">
        <v>90</v>
      </c>
      <c r="AZ12" s="231"/>
      <c r="BA12" s="231"/>
      <c r="BB12" s="231"/>
      <c r="BC12" s="231"/>
      <c r="BD12" s="231"/>
      <c r="BE12" s="231"/>
      <c r="BF12" s="232"/>
      <c r="BG12" s="230" t="s">
        <v>132</v>
      </c>
      <c r="BH12" s="231"/>
      <c r="BI12" s="231"/>
      <c r="BJ12" s="231"/>
      <c r="BK12" s="231"/>
      <c r="BL12" s="231"/>
      <c r="BM12" s="231"/>
      <c r="BN12" s="232"/>
      <c r="BO12" s="219" t="s">
        <v>82</v>
      </c>
      <c r="BP12" s="220"/>
      <c r="BQ12" s="220"/>
      <c r="BR12" s="221"/>
      <c r="BS12" s="222" t="s">
        <v>84</v>
      </c>
      <c r="BT12" s="223"/>
      <c r="BU12" s="224" t="s">
        <v>87</v>
      </c>
    </row>
    <row r="13" spans="1:73" s="36" customFormat="1" ht="23.25" customHeight="1" thickBot="1" x14ac:dyDescent="0.3">
      <c r="A13" s="242"/>
      <c r="B13" s="242"/>
      <c r="C13" s="243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1"/>
      <c r="K13" s="230" t="s">
        <v>3</v>
      </c>
      <c r="L13" s="231"/>
      <c r="M13" s="231"/>
      <c r="N13" s="232"/>
      <c r="O13" s="230" t="s">
        <v>4</v>
      </c>
      <c r="P13" s="231"/>
      <c r="Q13" s="231"/>
      <c r="R13" s="232"/>
      <c r="S13" s="230" t="s">
        <v>3</v>
      </c>
      <c r="T13" s="231"/>
      <c r="U13" s="231"/>
      <c r="V13" s="232"/>
      <c r="W13" s="230" t="s">
        <v>4</v>
      </c>
      <c r="X13" s="231"/>
      <c r="Y13" s="231"/>
      <c r="Z13" s="232"/>
      <c r="AA13" s="230" t="s">
        <v>3</v>
      </c>
      <c r="AB13" s="231"/>
      <c r="AC13" s="231"/>
      <c r="AD13" s="232"/>
      <c r="AE13" s="230" t="s">
        <v>4</v>
      </c>
      <c r="AF13" s="231"/>
      <c r="AG13" s="231"/>
      <c r="AH13" s="232"/>
      <c r="AI13" s="230" t="s">
        <v>3</v>
      </c>
      <c r="AJ13" s="231"/>
      <c r="AK13" s="231"/>
      <c r="AL13" s="232"/>
      <c r="AM13" s="230" t="s">
        <v>4</v>
      </c>
      <c r="AN13" s="231"/>
      <c r="AO13" s="231"/>
      <c r="AP13" s="232"/>
      <c r="AQ13" s="230" t="s">
        <v>3</v>
      </c>
      <c r="AR13" s="231"/>
      <c r="AS13" s="231"/>
      <c r="AT13" s="232"/>
      <c r="AU13" s="230" t="s">
        <v>4</v>
      </c>
      <c r="AV13" s="231"/>
      <c r="AW13" s="231"/>
      <c r="AX13" s="232"/>
      <c r="AY13" s="230" t="s">
        <v>3</v>
      </c>
      <c r="AZ13" s="231"/>
      <c r="BA13" s="231"/>
      <c r="BB13" s="232"/>
      <c r="BC13" s="230" t="s">
        <v>4</v>
      </c>
      <c r="BD13" s="231"/>
      <c r="BE13" s="231"/>
      <c r="BF13" s="232"/>
      <c r="BG13" s="230" t="s">
        <v>3</v>
      </c>
      <c r="BH13" s="231"/>
      <c r="BI13" s="231"/>
      <c r="BJ13" s="232"/>
      <c r="BK13" s="230" t="s">
        <v>4</v>
      </c>
      <c r="BL13" s="231"/>
      <c r="BM13" s="231"/>
      <c r="BN13" s="232"/>
      <c r="BO13" s="216" t="s">
        <v>83</v>
      </c>
      <c r="BP13" s="217"/>
      <c r="BQ13" s="216" t="s">
        <v>5</v>
      </c>
      <c r="BR13" s="218"/>
      <c r="BS13" s="80" t="s">
        <v>85</v>
      </c>
      <c r="BT13" s="80" t="s">
        <v>86</v>
      </c>
      <c r="BU13" s="225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9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90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90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90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90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90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90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90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90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91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92"/>
      <c r="BG24" s="193"/>
      <c r="BH24" s="193"/>
      <c r="BI24" s="193"/>
      <c r="BJ24" s="193"/>
      <c r="BK24" s="193"/>
    </row>
    <row r="25" spans="1:73" x14ac:dyDescent="0.25">
      <c r="A25" s="1" t="s">
        <v>117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119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120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118</v>
      </c>
      <c r="E40" s="237" t="s">
        <v>57</v>
      </c>
      <c r="F40" s="238"/>
      <c r="G40" s="238"/>
      <c r="H40" s="238"/>
      <c r="I40" s="238"/>
      <c r="J40" s="238"/>
      <c r="K40" s="238"/>
      <c r="L40" s="239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121</v>
      </c>
    </row>
    <row r="46" spans="1:12" ht="30.75" thickBot="1" x14ac:dyDescent="0.3">
      <c r="A46" s="66" t="s">
        <v>63</v>
      </c>
      <c r="B46" s="67" t="s">
        <v>64</v>
      </c>
      <c r="E46" s="237" t="s">
        <v>65</v>
      </c>
      <c r="F46" s="238"/>
      <c r="G46" s="238"/>
      <c r="H46" s="238"/>
      <c r="I46" s="238"/>
      <c r="J46" s="238"/>
      <c r="K46" s="238"/>
      <c r="L46" s="239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42" t="s">
        <v>26</v>
      </c>
      <c r="B64" s="242" t="s">
        <v>27</v>
      </c>
      <c r="C64" s="243" t="s">
        <v>28</v>
      </c>
      <c r="D64" s="244" t="s">
        <v>58</v>
      </c>
      <c r="E64" s="245"/>
      <c r="F64" s="245"/>
      <c r="G64" s="245" t="s">
        <v>59</v>
      </c>
      <c r="H64" s="245"/>
      <c r="I64" s="245"/>
      <c r="J64" s="240" t="s">
        <v>88</v>
      </c>
      <c r="K64" s="230" t="s">
        <v>81</v>
      </c>
      <c r="L64" s="231"/>
      <c r="M64" s="231"/>
      <c r="N64" s="231"/>
      <c r="O64" s="231"/>
      <c r="P64" s="231"/>
      <c r="Q64" s="231"/>
      <c r="R64" s="232"/>
      <c r="S64" s="230" t="s">
        <v>79</v>
      </c>
      <c r="T64" s="231"/>
      <c r="U64" s="231"/>
      <c r="V64" s="231"/>
      <c r="W64" s="231"/>
      <c r="X64" s="231"/>
      <c r="Y64" s="231"/>
      <c r="Z64" s="232"/>
      <c r="AA64" s="230" t="s">
        <v>80</v>
      </c>
      <c r="AB64" s="231"/>
      <c r="AC64" s="231"/>
      <c r="AD64" s="231"/>
      <c r="AE64" s="231"/>
      <c r="AF64" s="231"/>
      <c r="AG64" s="231"/>
      <c r="AH64" s="232"/>
      <c r="AI64" s="230" t="s">
        <v>78</v>
      </c>
      <c r="AJ64" s="231"/>
      <c r="AK64" s="231"/>
      <c r="AL64" s="231"/>
      <c r="AM64" s="231"/>
      <c r="AN64" s="231"/>
      <c r="AO64" s="231"/>
      <c r="AP64" s="232"/>
      <c r="AQ64" s="230" t="s">
        <v>89</v>
      </c>
      <c r="AR64" s="231"/>
      <c r="AS64" s="231"/>
      <c r="AT64" s="231"/>
      <c r="AU64" s="231"/>
      <c r="AV64" s="231"/>
      <c r="AW64" s="231"/>
      <c r="AX64" s="232"/>
      <c r="AY64" s="230" t="s">
        <v>90</v>
      </c>
      <c r="AZ64" s="231"/>
      <c r="BA64" s="231"/>
      <c r="BB64" s="231"/>
      <c r="BC64" s="231"/>
      <c r="BD64" s="231"/>
      <c r="BE64" s="231"/>
      <c r="BF64" s="232"/>
      <c r="BG64" s="230" t="s">
        <v>132</v>
      </c>
      <c r="BH64" s="231"/>
      <c r="BI64" s="231"/>
      <c r="BJ64" s="231"/>
      <c r="BK64" s="231"/>
      <c r="BL64" s="231"/>
      <c r="BM64" s="231"/>
      <c r="BN64" s="232"/>
      <c r="BO64" s="219" t="s">
        <v>82</v>
      </c>
      <c r="BP64" s="220"/>
      <c r="BQ64" s="220"/>
      <c r="BR64" s="221"/>
      <c r="BS64" s="222" t="s">
        <v>84</v>
      </c>
      <c r="BT64" s="223"/>
      <c r="BU64" s="224" t="s">
        <v>87</v>
      </c>
    </row>
    <row r="65" spans="1:73" s="36" customFormat="1" ht="23.25" customHeight="1" thickBot="1" x14ac:dyDescent="0.3">
      <c r="A65" s="242"/>
      <c r="B65" s="242"/>
      <c r="C65" s="243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41"/>
      <c r="K65" s="230" t="s">
        <v>3</v>
      </c>
      <c r="L65" s="231"/>
      <c r="M65" s="231"/>
      <c r="N65" s="232"/>
      <c r="O65" s="230" t="s">
        <v>4</v>
      </c>
      <c r="P65" s="231"/>
      <c r="Q65" s="231"/>
      <c r="R65" s="232"/>
      <c r="S65" s="230" t="s">
        <v>3</v>
      </c>
      <c r="T65" s="231"/>
      <c r="U65" s="231"/>
      <c r="V65" s="232"/>
      <c r="W65" s="230" t="s">
        <v>4</v>
      </c>
      <c r="X65" s="231"/>
      <c r="Y65" s="231"/>
      <c r="Z65" s="232"/>
      <c r="AA65" s="230" t="s">
        <v>3</v>
      </c>
      <c r="AB65" s="231"/>
      <c r="AC65" s="231"/>
      <c r="AD65" s="232"/>
      <c r="AE65" s="230" t="s">
        <v>4</v>
      </c>
      <c r="AF65" s="231"/>
      <c r="AG65" s="231"/>
      <c r="AH65" s="232"/>
      <c r="AI65" s="230" t="s">
        <v>3</v>
      </c>
      <c r="AJ65" s="231"/>
      <c r="AK65" s="231"/>
      <c r="AL65" s="232"/>
      <c r="AM65" s="230" t="s">
        <v>4</v>
      </c>
      <c r="AN65" s="231"/>
      <c r="AO65" s="231"/>
      <c r="AP65" s="232"/>
      <c r="AQ65" s="230" t="s">
        <v>3</v>
      </c>
      <c r="AR65" s="231"/>
      <c r="AS65" s="231"/>
      <c r="AT65" s="232"/>
      <c r="AU65" s="230" t="s">
        <v>4</v>
      </c>
      <c r="AV65" s="231"/>
      <c r="AW65" s="231"/>
      <c r="AX65" s="232"/>
      <c r="AY65" s="230" t="s">
        <v>3</v>
      </c>
      <c r="AZ65" s="231"/>
      <c r="BA65" s="231"/>
      <c r="BB65" s="232"/>
      <c r="BC65" s="230" t="s">
        <v>4</v>
      </c>
      <c r="BD65" s="231"/>
      <c r="BE65" s="231"/>
      <c r="BF65" s="232"/>
      <c r="BG65" s="230" t="s">
        <v>3</v>
      </c>
      <c r="BH65" s="231"/>
      <c r="BI65" s="231"/>
      <c r="BJ65" s="232"/>
      <c r="BK65" s="230" t="s">
        <v>4</v>
      </c>
      <c r="BL65" s="231"/>
      <c r="BM65" s="231"/>
      <c r="BN65" s="232"/>
      <c r="BO65" s="216" t="s">
        <v>83</v>
      </c>
      <c r="BP65" s="217"/>
      <c r="BQ65" s="216" t="s">
        <v>5</v>
      </c>
      <c r="BR65" s="218"/>
      <c r="BS65" s="80" t="s">
        <v>85</v>
      </c>
      <c r="BT65" s="80" t="s">
        <v>86</v>
      </c>
      <c r="BU65" s="225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9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90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90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90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90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90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90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90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90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91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92"/>
      <c r="BG76" s="193"/>
      <c r="BH76" s="193"/>
      <c r="BI76" s="193"/>
      <c r="BJ76" s="193"/>
      <c r="BK76" s="193"/>
    </row>
    <row r="77" spans="1:73" x14ac:dyDescent="0.25">
      <c r="A77" s="1" t="s">
        <v>122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123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124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125</v>
      </c>
      <c r="E92" s="237" t="s">
        <v>57</v>
      </c>
      <c r="F92" s="238"/>
      <c r="G92" s="238"/>
      <c r="H92" s="238"/>
      <c r="I92" s="238"/>
      <c r="J92" s="238"/>
      <c r="K92" s="238"/>
      <c r="L92" s="239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126</v>
      </c>
    </row>
    <row r="98" spans="1:12" ht="30.75" thickBot="1" x14ac:dyDescent="0.3">
      <c r="A98" s="66" t="s">
        <v>63</v>
      </c>
      <c r="B98" s="67" t="s">
        <v>64</v>
      </c>
      <c r="E98" s="237" t="s">
        <v>65</v>
      </c>
      <c r="F98" s="238"/>
      <c r="G98" s="238"/>
      <c r="H98" s="238"/>
      <c r="I98" s="238"/>
      <c r="J98" s="238"/>
      <c r="K98" s="238"/>
      <c r="L98" s="239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42" t="s">
        <v>26</v>
      </c>
      <c r="B116" s="242" t="s">
        <v>27</v>
      </c>
      <c r="C116" s="243" t="s">
        <v>28</v>
      </c>
      <c r="D116" s="244" t="s">
        <v>58</v>
      </c>
      <c r="E116" s="245"/>
      <c r="F116" s="245"/>
      <c r="G116" s="245" t="s">
        <v>59</v>
      </c>
      <c r="H116" s="245"/>
      <c r="I116" s="245"/>
      <c r="J116" s="240" t="s">
        <v>88</v>
      </c>
      <c r="K116" s="230" t="s">
        <v>81</v>
      </c>
      <c r="L116" s="231"/>
      <c r="M116" s="231"/>
      <c r="N116" s="231"/>
      <c r="O116" s="231"/>
      <c r="P116" s="231"/>
      <c r="Q116" s="231"/>
      <c r="R116" s="232"/>
      <c r="S116" s="230" t="s">
        <v>79</v>
      </c>
      <c r="T116" s="231"/>
      <c r="U116" s="231"/>
      <c r="V116" s="231"/>
      <c r="W116" s="231"/>
      <c r="X116" s="231"/>
      <c r="Y116" s="231"/>
      <c r="Z116" s="232"/>
      <c r="AA116" s="230" t="s">
        <v>80</v>
      </c>
      <c r="AB116" s="231"/>
      <c r="AC116" s="231"/>
      <c r="AD116" s="231"/>
      <c r="AE116" s="231"/>
      <c r="AF116" s="231"/>
      <c r="AG116" s="231"/>
      <c r="AH116" s="232"/>
      <c r="AI116" s="230" t="s">
        <v>78</v>
      </c>
      <c r="AJ116" s="231"/>
      <c r="AK116" s="231"/>
      <c r="AL116" s="231"/>
      <c r="AM116" s="231"/>
      <c r="AN116" s="231"/>
      <c r="AO116" s="231"/>
      <c r="AP116" s="232"/>
      <c r="AQ116" s="230" t="s">
        <v>89</v>
      </c>
      <c r="AR116" s="231"/>
      <c r="AS116" s="231"/>
      <c r="AT116" s="231"/>
      <c r="AU116" s="231"/>
      <c r="AV116" s="231"/>
      <c r="AW116" s="231"/>
      <c r="AX116" s="232"/>
      <c r="AY116" s="230" t="s">
        <v>90</v>
      </c>
      <c r="AZ116" s="231"/>
      <c r="BA116" s="231"/>
      <c r="BB116" s="231"/>
      <c r="BC116" s="231"/>
      <c r="BD116" s="231"/>
      <c r="BE116" s="231"/>
      <c r="BF116" s="232"/>
      <c r="BG116" s="230" t="s">
        <v>132</v>
      </c>
      <c r="BH116" s="231"/>
      <c r="BI116" s="231"/>
      <c r="BJ116" s="231"/>
      <c r="BK116" s="231"/>
      <c r="BL116" s="231"/>
      <c r="BM116" s="231"/>
      <c r="BN116" s="232"/>
      <c r="BO116" s="219" t="s">
        <v>82</v>
      </c>
      <c r="BP116" s="220"/>
      <c r="BQ116" s="220"/>
      <c r="BR116" s="221"/>
      <c r="BS116" s="222" t="s">
        <v>84</v>
      </c>
      <c r="BT116" s="223"/>
      <c r="BU116" s="224" t="s">
        <v>87</v>
      </c>
    </row>
    <row r="117" spans="1:73" s="36" customFormat="1" ht="23.25" customHeight="1" thickBot="1" x14ac:dyDescent="0.3">
      <c r="A117" s="242"/>
      <c r="B117" s="242"/>
      <c r="C117" s="243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41"/>
      <c r="K117" s="230" t="s">
        <v>3</v>
      </c>
      <c r="L117" s="231"/>
      <c r="M117" s="231"/>
      <c r="N117" s="232"/>
      <c r="O117" s="230" t="s">
        <v>4</v>
      </c>
      <c r="P117" s="231"/>
      <c r="Q117" s="231"/>
      <c r="R117" s="232"/>
      <c r="S117" s="230" t="s">
        <v>3</v>
      </c>
      <c r="T117" s="231"/>
      <c r="U117" s="231"/>
      <c r="V117" s="232"/>
      <c r="W117" s="230" t="s">
        <v>4</v>
      </c>
      <c r="X117" s="231"/>
      <c r="Y117" s="231"/>
      <c r="Z117" s="232"/>
      <c r="AA117" s="230" t="s">
        <v>3</v>
      </c>
      <c r="AB117" s="231"/>
      <c r="AC117" s="231"/>
      <c r="AD117" s="232"/>
      <c r="AE117" s="230" t="s">
        <v>4</v>
      </c>
      <c r="AF117" s="231"/>
      <c r="AG117" s="231"/>
      <c r="AH117" s="232"/>
      <c r="AI117" s="230" t="s">
        <v>3</v>
      </c>
      <c r="AJ117" s="231"/>
      <c r="AK117" s="231"/>
      <c r="AL117" s="232"/>
      <c r="AM117" s="230" t="s">
        <v>4</v>
      </c>
      <c r="AN117" s="231"/>
      <c r="AO117" s="231"/>
      <c r="AP117" s="232"/>
      <c r="AQ117" s="230" t="s">
        <v>3</v>
      </c>
      <c r="AR117" s="231"/>
      <c r="AS117" s="231"/>
      <c r="AT117" s="232"/>
      <c r="AU117" s="230" t="s">
        <v>4</v>
      </c>
      <c r="AV117" s="231"/>
      <c r="AW117" s="231"/>
      <c r="AX117" s="232"/>
      <c r="AY117" s="230" t="s">
        <v>3</v>
      </c>
      <c r="AZ117" s="231"/>
      <c r="BA117" s="231"/>
      <c r="BB117" s="232"/>
      <c r="BC117" s="230" t="s">
        <v>4</v>
      </c>
      <c r="BD117" s="231"/>
      <c r="BE117" s="231"/>
      <c r="BF117" s="232"/>
      <c r="BG117" s="230" t="s">
        <v>3</v>
      </c>
      <c r="BH117" s="231"/>
      <c r="BI117" s="231"/>
      <c r="BJ117" s="232"/>
      <c r="BK117" s="230" t="s">
        <v>4</v>
      </c>
      <c r="BL117" s="231"/>
      <c r="BM117" s="231"/>
      <c r="BN117" s="232"/>
      <c r="BO117" s="216" t="s">
        <v>83</v>
      </c>
      <c r="BP117" s="217"/>
      <c r="BQ117" s="216" t="s">
        <v>5</v>
      </c>
      <c r="BR117" s="218"/>
      <c r="BS117" s="80" t="s">
        <v>85</v>
      </c>
      <c r="BT117" s="80" t="s">
        <v>86</v>
      </c>
      <c r="BU117" s="225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9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90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90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90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90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90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90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90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90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91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92"/>
      <c r="BG128" s="193"/>
      <c r="BH128" s="193"/>
      <c r="BI128" s="193"/>
      <c r="BJ128" s="193"/>
      <c r="BK128" s="193"/>
    </row>
    <row r="129" spans="1:12" x14ac:dyDescent="0.25">
      <c r="A129" s="1" t="s">
        <v>127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128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129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130</v>
      </c>
      <c r="E144" s="237" t="s">
        <v>57</v>
      </c>
      <c r="F144" s="238"/>
      <c r="G144" s="238"/>
      <c r="H144" s="238"/>
      <c r="I144" s="238"/>
      <c r="J144" s="238"/>
      <c r="K144" s="238"/>
      <c r="L144" s="239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131</v>
      </c>
    </row>
    <row r="150" spans="1:12" ht="30.75" thickBot="1" x14ac:dyDescent="0.3">
      <c r="A150" s="104" t="s">
        <v>63</v>
      </c>
      <c r="B150" s="105" t="s">
        <v>64</v>
      </c>
      <c r="E150" s="237" t="s">
        <v>65</v>
      </c>
      <c r="F150" s="238"/>
      <c r="G150" s="238"/>
      <c r="H150" s="238"/>
      <c r="I150" s="238"/>
      <c r="J150" s="238"/>
      <c r="K150" s="238"/>
      <c r="L150" s="239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25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25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25" ht="15.75" thickBot="1" x14ac:dyDescent="0.3">
      <c r="A164" s="1" t="s">
        <v>203</v>
      </c>
    </row>
    <row r="165" spans="1:25" ht="15.75" thickBot="1" x14ac:dyDescent="0.3">
      <c r="A165" s="233" t="s">
        <v>27</v>
      </c>
      <c r="B165" s="229" t="s">
        <v>136</v>
      </c>
      <c r="C165" s="235"/>
      <c r="D165" s="235"/>
      <c r="E165" s="235"/>
      <c r="F165" s="235"/>
      <c r="G165" s="235"/>
      <c r="H165" s="235"/>
      <c r="I165" s="236"/>
      <c r="J165" s="229" t="s">
        <v>137</v>
      </c>
      <c r="K165" s="235"/>
      <c r="L165" s="235"/>
      <c r="M165" s="235"/>
      <c r="N165" s="235"/>
      <c r="O165" s="235"/>
      <c r="P165" s="235"/>
      <c r="Q165" s="236"/>
      <c r="R165" s="229" t="s">
        <v>138</v>
      </c>
      <c r="S165" s="235"/>
      <c r="T165" s="235"/>
      <c r="U165" s="235"/>
      <c r="V165" s="235"/>
      <c r="W165" s="235"/>
      <c r="X165" s="235"/>
      <c r="Y165" s="236"/>
    </row>
    <row r="166" spans="1:25" ht="33.75" customHeight="1" thickBot="1" x14ac:dyDescent="0.3">
      <c r="A166" s="234"/>
      <c r="B166" s="226" t="s">
        <v>3</v>
      </c>
      <c r="C166" s="227"/>
      <c r="D166" s="227"/>
      <c r="E166" s="228"/>
      <c r="F166" s="229" t="s">
        <v>4</v>
      </c>
      <c r="G166" s="227"/>
      <c r="H166" s="227"/>
      <c r="I166" s="228"/>
      <c r="J166" s="226" t="s">
        <v>3</v>
      </c>
      <c r="K166" s="227"/>
      <c r="L166" s="227"/>
      <c r="M166" s="228"/>
      <c r="N166" s="229" t="s">
        <v>4</v>
      </c>
      <c r="O166" s="227"/>
      <c r="P166" s="227"/>
      <c r="Q166" s="228"/>
      <c r="R166" s="226" t="s">
        <v>3</v>
      </c>
      <c r="S166" s="227"/>
      <c r="T166" s="227"/>
      <c r="U166" s="228"/>
      <c r="V166" s="229" t="s">
        <v>4</v>
      </c>
      <c r="W166" s="227"/>
      <c r="X166" s="227"/>
      <c r="Y166" s="228"/>
    </row>
    <row r="167" spans="1:25" x14ac:dyDescent="0.25">
      <c r="A167" s="102" t="s">
        <v>25</v>
      </c>
      <c r="B167" s="6">
        <f>BG14</f>
        <v>6.4600000000000009</v>
      </c>
      <c r="C167" s="7">
        <f t="shared" ref="C167:I176" si="125">BH14</f>
        <v>12.6</v>
      </c>
      <c r="D167" s="7">
        <f t="shared" si="125"/>
        <v>15.81</v>
      </c>
      <c r="E167" s="8">
        <f t="shared" si="125"/>
        <v>20.655000000000001</v>
      </c>
      <c r="F167" s="6">
        <f t="shared" si="125"/>
        <v>8.3199999999999985</v>
      </c>
      <c r="G167" s="7">
        <f t="shared" si="125"/>
        <v>12.6</v>
      </c>
      <c r="H167" s="7">
        <f t="shared" si="125"/>
        <v>15.81</v>
      </c>
      <c r="I167" s="8">
        <f t="shared" si="125"/>
        <v>19.03</v>
      </c>
      <c r="J167" s="6">
        <f>BG66</f>
        <v>4.22</v>
      </c>
      <c r="K167" s="7">
        <f t="shared" ref="K167:Q176" si="126">BH66</f>
        <v>9.89</v>
      </c>
      <c r="L167" s="7">
        <f t="shared" si="126"/>
        <v>15.18</v>
      </c>
      <c r="M167" s="8">
        <f t="shared" si="126"/>
        <v>21.215000000000003</v>
      </c>
      <c r="N167" s="6">
        <f t="shared" si="126"/>
        <v>5.6749999999999989</v>
      </c>
      <c r="O167" s="7">
        <f t="shared" si="126"/>
        <v>9.89</v>
      </c>
      <c r="P167" s="7">
        <f t="shared" si="126"/>
        <v>15.18</v>
      </c>
      <c r="Q167" s="8">
        <f t="shared" si="126"/>
        <v>19.23</v>
      </c>
      <c r="R167" s="6">
        <f>BG118</f>
        <v>5.0450000000000008</v>
      </c>
      <c r="S167" s="7">
        <f t="shared" ref="S167:Y176" si="127">BH118</f>
        <v>9.9149999999999991</v>
      </c>
      <c r="T167" s="7">
        <f t="shared" si="127"/>
        <v>13.555</v>
      </c>
      <c r="U167" s="8">
        <f t="shared" si="127"/>
        <v>18.465</v>
      </c>
      <c r="V167" s="6">
        <f t="shared" si="127"/>
        <v>6.4289999999999994</v>
      </c>
      <c r="W167" s="7">
        <f t="shared" si="127"/>
        <v>9.9149999999999991</v>
      </c>
      <c r="X167" s="7">
        <f t="shared" si="127"/>
        <v>13.555</v>
      </c>
      <c r="Y167" s="8">
        <f t="shared" si="127"/>
        <v>16.830000000000002</v>
      </c>
    </row>
    <row r="168" spans="1:25" x14ac:dyDescent="0.25">
      <c r="A168" s="98" t="s">
        <v>14</v>
      </c>
      <c r="B168" s="4">
        <f t="shared" ref="B168:B176" si="128">BG15</f>
        <v>1.1550000000000002</v>
      </c>
      <c r="C168" s="2">
        <f t="shared" si="125"/>
        <v>4.4550000000000001</v>
      </c>
      <c r="D168" s="2">
        <f t="shared" si="125"/>
        <v>9.0749999999999993</v>
      </c>
      <c r="E168" s="5">
        <f t="shared" si="125"/>
        <v>14.025</v>
      </c>
      <c r="F168" s="4">
        <f t="shared" si="125"/>
        <v>1.8190000000000008</v>
      </c>
      <c r="G168" s="2">
        <f t="shared" si="125"/>
        <v>4.4550000000000001</v>
      </c>
      <c r="H168" s="2">
        <f t="shared" si="125"/>
        <v>9.0749999999999993</v>
      </c>
      <c r="I168" s="5">
        <f t="shared" si="125"/>
        <v>12.430000000000003</v>
      </c>
      <c r="J168" s="4">
        <f t="shared" ref="J168:J176" si="129">BG67</f>
        <v>1.1550000000000002</v>
      </c>
      <c r="K168" s="2">
        <f t="shared" si="126"/>
        <v>5.5550000000000006</v>
      </c>
      <c r="L168" s="2">
        <f t="shared" si="126"/>
        <v>11.275</v>
      </c>
      <c r="M168" s="5">
        <f t="shared" si="126"/>
        <v>16.775000000000002</v>
      </c>
      <c r="N168" s="4">
        <f t="shared" si="126"/>
        <v>1.9650000000000007</v>
      </c>
      <c r="O168" s="2">
        <f t="shared" si="126"/>
        <v>5.5550000000000006</v>
      </c>
      <c r="P168" s="2">
        <f t="shared" si="126"/>
        <v>11.275</v>
      </c>
      <c r="Q168" s="5">
        <f t="shared" si="126"/>
        <v>15.030000000000005</v>
      </c>
      <c r="R168" s="4">
        <f t="shared" ref="R168:R176" si="130">BG119</f>
        <v>0.60499999999999998</v>
      </c>
      <c r="S168" s="2">
        <f t="shared" si="127"/>
        <v>3.6300000000000008</v>
      </c>
      <c r="T168" s="2">
        <f t="shared" si="127"/>
        <v>8.25</v>
      </c>
      <c r="U168" s="5">
        <f t="shared" si="127"/>
        <v>12.9</v>
      </c>
      <c r="V168" s="4">
        <f t="shared" si="127"/>
        <v>1.0249999999999999</v>
      </c>
      <c r="W168" s="2">
        <f t="shared" si="127"/>
        <v>3.6300000000000008</v>
      </c>
      <c r="X168" s="2">
        <f t="shared" si="127"/>
        <v>8.25</v>
      </c>
      <c r="Y168" s="5">
        <f t="shared" si="127"/>
        <v>11.430000000000001</v>
      </c>
    </row>
    <row r="169" spans="1:25" x14ac:dyDescent="0.25">
      <c r="A169" s="98" t="s">
        <v>15</v>
      </c>
      <c r="B169" s="4">
        <f t="shared" si="128"/>
        <v>4.0150000000000006</v>
      </c>
      <c r="C169" s="2">
        <f t="shared" si="125"/>
        <v>7.4250000000000007</v>
      </c>
      <c r="D169" s="2">
        <f t="shared" si="125"/>
        <v>12.705000000000002</v>
      </c>
      <c r="E169" s="5">
        <f t="shared" si="125"/>
        <v>19.965</v>
      </c>
      <c r="F169" s="4">
        <f t="shared" si="125"/>
        <v>5.08</v>
      </c>
      <c r="G169" s="2">
        <f t="shared" si="125"/>
        <v>7.4250000000000007</v>
      </c>
      <c r="H169" s="2">
        <f t="shared" si="125"/>
        <v>12.705000000000002</v>
      </c>
      <c r="I169" s="5">
        <f t="shared" si="125"/>
        <v>17.489999999999998</v>
      </c>
      <c r="J169" s="4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5">
        <f t="shared" si="126"/>
        <v>25.310000000000002</v>
      </c>
      <c r="N169" s="4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5">
        <f t="shared" si="126"/>
        <v>22.96</v>
      </c>
      <c r="R169" s="4">
        <f t="shared" si="130"/>
        <v>4.8249999999999993</v>
      </c>
      <c r="S169" s="2">
        <f t="shared" si="127"/>
        <v>9.4499999999999993</v>
      </c>
      <c r="T169" s="2">
        <f t="shared" si="127"/>
        <v>13.97</v>
      </c>
      <c r="U169" s="5">
        <f t="shared" si="127"/>
        <v>20.310000000000002</v>
      </c>
      <c r="V169" s="4">
        <f t="shared" si="127"/>
        <v>6.2499999999999982</v>
      </c>
      <c r="W169" s="2">
        <f t="shared" si="127"/>
        <v>9.4499999999999993</v>
      </c>
      <c r="X169" s="2">
        <f t="shared" si="127"/>
        <v>13.97</v>
      </c>
      <c r="Y169" s="5">
        <f t="shared" si="127"/>
        <v>18.159999999999997</v>
      </c>
    </row>
    <row r="170" spans="1:25" x14ac:dyDescent="0.25">
      <c r="A170" s="98" t="s">
        <v>16</v>
      </c>
      <c r="B170" s="4">
        <f t="shared" si="128"/>
        <v>5.6500000000000012</v>
      </c>
      <c r="C170" s="2">
        <f t="shared" si="125"/>
        <v>10.574999999999999</v>
      </c>
      <c r="D170" s="2">
        <f t="shared" si="125"/>
        <v>14.545000000000002</v>
      </c>
      <c r="E170" s="5">
        <f t="shared" si="125"/>
        <v>20.309999999999999</v>
      </c>
      <c r="F170" s="4">
        <f t="shared" si="125"/>
        <v>7.15</v>
      </c>
      <c r="G170" s="2">
        <f t="shared" si="125"/>
        <v>10.574999999999999</v>
      </c>
      <c r="H170" s="2">
        <f t="shared" si="125"/>
        <v>14.545000000000002</v>
      </c>
      <c r="I170" s="5">
        <f t="shared" si="125"/>
        <v>18.36</v>
      </c>
      <c r="J170" s="4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5">
        <f t="shared" si="126"/>
        <v>22.340000000000003</v>
      </c>
      <c r="N170" s="4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5">
        <f t="shared" si="126"/>
        <v>20.43</v>
      </c>
      <c r="R170" s="4">
        <f t="shared" si="130"/>
        <v>2.1950000000000003</v>
      </c>
      <c r="S170" s="2">
        <f t="shared" si="127"/>
        <v>6.0149999999999997</v>
      </c>
      <c r="T170" s="2">
        <f t="shared" si="127"/>
        <v>10.755000000000001</v>
      </c>
      <c r="U170" s="5">
        <f t="shared" si="127"/>
        <v>16.215000000000003</v>
      </c>
      <c r="V170" s="4">
        <f t="shared" si="127"/>
        <v>3.1250000000000009</v>
      </c>
      <c r="W170" s="2">
        <f t="shared" si="127"/>
        <v>6.0149999999999997</v>
      </c>
      <c r="X170" s="2">
        <f t="shared" si="127"/>
        <v>10.755000000000001</v>
      </c>
      <c r="Y170" s="5">
        <f t="shared" si="127"/>
        <v>14.430000000000003</v>
      </c>
    </row>
    <row r="171" spans="1:25" x14ac:dyDescent="0.25">
      <c r="A171" s="98" t="s">
        <v>18</v>
      </c>
      <c r="B171" s="4">
        <f t="shared" si="128"/>
        <v>4.45</v>
      </c>
      <c r="C171" s="2">
        <f t="shared" si="125"/>
        <v>8.3250000000000011</v>
      </c>
      <c r="D171" s="2">
        <f t="shared" si="125"/>
        <v>13.395</v>
      </c>
      <c r="E171" s="5">
        <f t="shared" si="125"/>
        <v>20.310000000000002</v>
      </c>
      <c r="F171" s="4">
        <f t="shared" si="125"/>
        <v>5.6650000000000009</v>
      </c>
      <c r="G171" s="2">
        <f t="shared" si="125"/>
        <v>8.3250000000000011</v>
      </c>
      <c r="H171" s="2">
        <f t="shared" si="125"/>
        <v>13.395</v>
      </c>
      <c r="I171" s="5">
        <f t="shared" si="125"/>
        <v>17.96</v>
      </c>
      <c r="J171" s="4">
        <f t="shared" si="129"/>
        <v>7.3000000000000007</v>
      </c>
      <c r="K171" s="2">
        <f t="shared" si="126"/>
        <v>13.325000000000001</v>
      </c>
      <c r="L171" s="2">
        <f t="shared" si="126"/>
        <v>18.395</v>
      </c>
      <c r="M171" s="5">
        <f t="shared" si="126"/>
        <v>25.310000000000002</v>
      </c>
      <c r="N171" s="4">
        <f t="shared" si="126"/>
        <v>9.1149999999999984</v>
      </c>
      <c r="O171" s="2">
        <f t="shared" si="126"/>
        <v>13.325000000000001</v>
      </c>
      <c r="P171" s="2">
        <f t="shared" si="126"/>
        <v>18.395</v>
      </c>
      <c r="Q171" s="5">
        <f t="shared" si="126"/>
        <v>22.96</v>
      </c>
      <c r="R171" s="4">
        <f t="shared" si="130"/>
        <v>2.57</v>
      </c>
      <c r="S171" s="2">
        <f t="shared" si="127"/>
        <v>7.14</v>
      </c>
      <c r="T171" s="2">
        <f t="shared" si="127"/>
        <v>11.33</v>
      </c>
      <c r="U171" s="5">
        <f t="shared" si="127"/>
        <v>16.215</v>
      </c>
      <c r="V171" s="4">
        <f t="shared" si="127"/>
        <v>3.7099999999999991</v>
      </c>
      <c r="W171" s="2">
        <f t="shared" si="127"/>
        <v>7.14</v>
      </c>
      <c r="X171" s="2">
        <f t="shared" si="127"/>
        <v>11.33</v>
      </c>
      <c r="Y171" s="5">
        <f t="shared" si="127"/>
        <v>14.63</v>
      </c>
    </row>
    <row r="172" spans="1:25" x14ac:dyDescent="0.25">
      <c r="A172" s="98" t="s">
        <v>19</v>
      </c>
      <c r="B172" s="4">
        <f t="shared" si="128"/>
        <v>4.495000000000001</v>
      </c>
      <c r="C172" s="2">
        <f t="shared" si="125"/>
        <v>9.09</v>
      </c>
      <c r="D172" s="2">
        <f t="shared" si="125"/>
        <v>12.73</v>
      </c>
      <c r="E172" s="5">
        <f t="shared" si="125"/>
        <v>17.34</v>
      </c>
      <c r="F172" s="4">
        <f t="shared" si="125"/>
        <v>5.6349999999999989</v>
      </c>
      <c r="G172" s="2">
        <f t="shared" si="125"/>
        <v>9.09</v>
      </c>
      <c r="H172" s="2">
        <f t="shared" si="125"/>
        <v>12.73</v>
      </c>
      <c r="I172" s="5">
        <f t="shared" si="125"/>
        <v>15.83</v>
      </c>
      <c r="J172" s="4">
        <f t="shared" si="129"/>
        <v>6.1450000000000005</v>
      </c>
      <c r="K172" s="2">
        <f t="shared" si="126"/>
        <v>11.840000000000002</v>
      </c>
      <c r="L172" s="2">
        <f t="shared" si="126"/>
        <v>16.579999999999998</v>
      </c>
      <c r="M172" s="5">
        <f t="shared" si="126"/>
        <v>22.340000000000003</v>
      </c>
      <c r="N172" s="4">
        <f t="shared" si="126"/>
        <v>7.5999999999999979</v>
      </c>
      <c r="O172" s="2">
        <f t="shared" si="126"/>
        <v>11.840000000000002</v>
      </c>
      <c r="P172" s="2">
        <f t="shared" si="126"/>
        <v>16.579999999999998</v>
      </c>
      <c r="Q172" s="5">
        <f t="shared" si="126"/>
        <v>20.43</v>
      </c>
      <c r="R172" s="4">
        <f t="shared" si="130"/>
        <v>1.1550000000000002</v>
      </c>
      <c r="S172" s="2">
        <f t="shared" si="127"/>
        <v>4.4550000000000001</v>
      </c>
      <c r="T172" s="2">
        <f t="shared" si="127"/>
        <v>9.0750000000000011</v>
      </c>
      <c r="U172" s="5">
        <f t="shared" si="127"/>
        <v>14.025</v>
      </c>
      <c r="V172" s="4">
        <f t="shared" si="127"/>
        <v>1.8190000000000008</v>
      </c>
      <c r="W172" s="2">
        <f t="shared" si="127"/>
        <v>4.4550000000000001</v>
      </c>
      <c r="X172" s="2">
        <f t="shared" si="127"/>
        <v>9.0750000000000011</v>
      </c>
      <c r="Y172" s="5">
        <f t="shared" si="127"/>
        <v>12.430000000000003</v>
      </c>
    </row>
    <row r="173" spans="1:25" x14ac:dyDescent="0.25">
      <c r="A173" s="98" t="s">
        <v>20</v>
      </c>
      <c r="B173" s="4">
        <f t="shared" si="128"/>
        <v>4.495000000000001</v>
      </c>
      <c r="C173" s="2">
        <f t="shared" si="125"/>
        <v>9.09</v>
      </c>
      <c r="D173" s="2">
        <f t="shared" si="125"/>
        <v>12.73</v>
      </c>
      <c r="E173" s="5">
        <f t="shared" si="125"/>
        <v>17.34</v>
      </c>
      <c r="F173" s="4">
        <f t="shared" si="125"/>
        <v>5.6349999999999989</v>
      </c>
      <c r="G173" s="2">
        <f t="shared" si="125"/>
        <v>9.09</v>
      </c>
      <c r="H173" s="2">
        <f t="shared" si="125"/>
        <v>12.73</v>
      </c>
      <c r="I173" s="5">
        <f t="shared" si="125"/>
        <v>15.83</v>
      </c>
      <c r="J173" s="4">
        <f t="shared" si="129"/>
        <v>6.1450000000000005</v>
      </c>
      <c r="K173" s="2">
        <f t="shared" si="126"/>
        <v>11.840000000000002</v>
      </c>
      <c r="L173" s="2">
        <f t="shared" si="126"/>
        <v>16.579999999999998</v>
      </c>
      <c r="M173" s="5">
        <f t="shared" si="126"/>
        <v>22.340000000000003</v>
      </c>
      <c r="N173" s="4">
        <f t="shared" si="126"/>
        <v>7.5999999999999979</v>
      </c>
      <c r="O173" s="2">
        <f t="shared" si="126"/>
        <v>11.840000000000002</v>
      </c>
      <c r="P173" s="2">
        <f t="shared" si="126"/>
        <v>16.579999999999998</v>
      </c>
      <c r="Q173" s="5">
        <f t="shared" si="126"/>
        <v>20.43</v>
      </c>
      <c r="R173" s="4">
        <f t="shared" si="130"/>
        <v>2.1950000000000003</v>
      </c>
      <c r="S173" s="2">
        <f t="shared" si="127"/>
        <v>6.0149999999999997</v>
      </c>
      <c r="T173" s="2">
        <f t="shared" si="127"/>
        <v>10.755000000000001</v>
      </c>
      <c r="U173" s="5">
        <f t="shared" si="127"/>
        <v>16.215000000000003</v>
      </c>
      <c r="V173" s="4">
        <f t="shared" si="127"/>
        <v>3.1250000000000009</v>
      </c>
      <c r="W173" s="2">
        <f t="shared" si="127"/>
        <v>6.0149999999999997</v>
      </c>
      <c r="X173" s="2">
        <f t="shared" si="127"/>
        <v>10.755000000000001</v>
      </c>
      <c r="Y173" s="5">
        <f t="shared" si="127"/>
        <v>14.430000000000003</v>
      </c>
    </row>
    <row r="174" spans="1:25" x14ac:dyDescent="0.25">
      <c r="A174" s="98" t="s">
        <v>21</v>
      </c>
      <c r="B174" s="4">
        <f t="shared" si="128"/>
        <v>5.26</v>
      </c>
      <c r="C174" s="2">
        <f t="shared" si="125"/>
        <v>10.350000000000001</v>
      </c>
      <c r="D174" s="2">
        <f t="shared" si="125"/>
        <v>14.66</v>
      </c>
      <c r="E174" s="5">
        <f t="shared" si="125"/>
        <v>20.655000000000001</v>
      </c>
      <c r="F174" s="4">
        <f t="shared" si="125"/>
        <v>6.8349999999999991</v>
      </c>
      <c r="G174" s="2">
        <f t="shared" si="125"/>
        <v>10.350000000000001</v>
      </c>
      <c r="H174" s="2">
        <f t="shared" si="125"/>
        <v>14.66</v>
      </c>
      <c r="I174" s="5">
        <f t="shared" si="125"/>
        <v>18.63</v>
      </c>
      <c r="J174" s="4">
        <f t="shared" si="129"/>
        <v>4.22</v>
      </c>
      <c r="K174" s="2">
        <f t="shared" si="126"/>
        <v>9.89</v>
      </c>
      <c r="L174" s="2">
        <f t="shared" si="126"/>
        <v>15.18</v>
      </c>
      <c r="M174" s="5">
        <f t="shared" si="126"/>
        <v>21.215000000000003</v>
      </c>
      <c r="N174" s="4">
        <f t="shared" si="126"/>
        <v>5.6749999999999989</v>
      </c>
      <c r="O174" s="2">
        <f t="shared" si="126"/>
        <v>9.89</v>
      </c>
      <c r="P174" s="2">
        <f t="shared" si="126"/>
        <v>15.18</v>
      </c>
      <c r="Q174" s="5">
        <f t="shared" si="126"/>
        <v>19.23</v>
      </c>
      <c r="R174" s="4">
        <f t="shared" si="130"/>
        <v>4.495000000000001</v>
      </c>
      <c r="S174" s="2">
        <f t="shared" si="127"/>
        <v>9.09</v>
      </c>
      <c r="T174" s="2">
        <f t="shared" si="127"/>
        <v>12.73</v>
      </c>
      <c r="U174" s="5">
        <f t="shared" si="127"/>
        <v>17.34</v>
      </c>
      <c r="V174" s="4">
        <f t="shared" si="127"/>
        <v>5.6349999999999989</v>
      </c>
      <c r="W174" s="2">
        <f t="shared" si="127"/>
        <v>9.09</v>
      </c>
      <c r="X174" s="2">
        <f t="shared" si="127"/>
        <v>12.73</v>
      </c>
      <c r="Y174" s="5">
        <f t="shared" si="127"/>
        <v>15.83</v>
      </c>
    </row>
    <row r="175" spans="1:25" x14ac:dyDescent="0.25">
      <c r="A175" s="98" t="s">
        <v>23</v>
      </c>
      <c r="B175" s="4">
        <f t="shared" si="128"/>
        <v>4.45</v>
      </c>
      <c r="C175" s="2">
        <f t="shared" si="125"/>
        <v>8.3250000000000011</v>
      </c>
      <c r="D175" s="2">
        <f t="shared" si="125"/>
        <v>13.395</v>
      </c>
      <c r="E175" s="5">
        <f t="shared" si="125"/>
        <v>20.310000000000002</v>
      </c>
      <c r="F175" s="4">
        <f t="shared" si="125"/>
        <v>5.6650000000000009</v>
      </c>
      <c r="G175" s="2">
        <f t="shared" si="125"/>
        <v>8.3250000000000011</v>
      </c>
      <c r="H175" s="2">
        <f t="shared" si="125"/>
        <v>13.395</v>
      </c>
      <c r="I175" s="5">
        <f t="shared" si="125"/>
        <v>17.96</v>
      </c>
      <c r="J175" s="4">
        <f t="shared" si="129"/>
        <v>5.0450000000000008</v>
      </c>
      <c r="K175" s="2">
        <f t="shared" si="126"/>
        <v>11.015000000000001</v>
      </c>
      <c r="L175" s="2">
        <f t="shared" si="126"/>
        <v>15.754999999999999</v>
      </c>
      <c r="M175" s="5">
        <f t="shared" si="126"/>
        <v>21.215</v>
      </c>
      <c r="N175" s="4">
        <f t="shared" si="126"/>
        <v>6.5749999999999993</v>
      </c>
      <c r="O175" s="2">
        <f t="shared" si="126"/>
        <v>11.015000000000001</v>
      </c>
      <c r="P175" s="2">
        <f t="shared" si="126"/>
        <v>15.754999999999999</v>
      </c>
      <c r="Q175" s="5">
        <f t="shared" si="126"/>
        <v>19.430000000000003</v>
      </c>
      <c r="R175" s="4">
        <f t="shared" si="130"/>
        <v>2.57</v>
      </c>
      <c r="S175" s="2">
        <f t="shared" si="127"/>
        <v>7.14</v>
      </c>
      <c r="T175" s="2">
        <f t="shared" si="127"/>
        <v>11.33</v>
      </c>
      <c r="U175" s="5">
        <f t="shared" si="127"/>
        <v>16.215</v>
      </c>
      <c r="V175" s="4">
        <f t="shared" si="127"/>
        <v>3.7099999999999991</v>
      </c>
      <c r="W175" s="2">
        <f t="shared" si="127"/>
        <v>7.14</v>
      </c>
      <c r="X175" s="2">
        <f t="shared" si="127"/>
        <v>11.33</v>
      </c>
      <c r="Y175" s="5">
        <f t="shared" si="127"/>
        <v>14.63</v>
      </c>
    </row>
    <row r="176" spans="1:25" ht="15.75" thickBot="1" x14ac:dyDescent="0.3">
      <c r="A176" s="99" t="s">
        <v>24</v>
      </c>
      <c r="B176" s="95">
        <f t="shared" si="128"/>
        <v>2.1950000000000003</v>
      </c>
      <c r="C176" s="58">
        <f t="shared" si="125"/>
        <v>6.0150000000000006</v>
      </c>
      <c r="D176" s="58">
        <f t="shared" si="125"/>
        <v>10.754999999999999</v>
      </c>
      <c r="E176" s="62">
        <f t="shared" si="125"/>
        <v>16.215</v>
      </c>
      <c r="F176" s="95">
        <f t="shared" si="125"/>
        <v>3.1250000000000009</v>
      </c>
      <c r="G176" s="58">
        <f t="shared" si="125"/>
        <v>6.0150000000000006</v>
      </c>
      <c r="H176" s="58">
        <f t="shared" si="125"/>
        <v>10.754999999999999</v>
      </c>
      <c r="I176" s="62">
        <f t="shared" si="125"/>
        <v>14.430000000000003</v>
      </c>
      <c r="J176" s="95">
        <f t="shared" si="129"/>
        <v>5.0450000000000008</v>
      </c>
      <c r="K176" s="58">
        <f t="shared" si="126"/>
        <v>11.015000000000001</v>
      </c>
      <c r="L176" s="58">
        <f t="shared" si="126"/>
        <v>15.754999999999999</v>
      </c>
      <c r="M176" s="62">
        <f t="shared" si="126"/>
        <v>21.215</v>
      </c>
      <c r="N176" s="95">
        <f t="shared" si="126"/>
        <v>6.5749999999999993</v>
      </c>
      <c r="O176" s="58">
        <f t="shared" si="126"/>
        <v>11.015000000000001</v>
      </c>
      <c r="P176" s="58">
        <f t="shared" si="126"/>
        <v>15.754999999999999</v>
      </c>
      <c r="Q176" s="62">
        <f t="shared" si="126"/>
        <v>19.430000000000003</v>
      </c>
      <c r="R176" s="95">
        <f t="shared" si="130"/>
        <v>4.22</v>
      </c>
      <c r="S176" s="58">
        <f t="shared" si="127"/>
        <v>8.7900000000000009</v>
      </c>
      <c r="T176" s="58">
        <f t="shared" si="127"/>
        <v>12.98</v>
      </c>
      <c r="U176" s="62">
        <f t="shared" si="127"/>
        <v>18.465</v>
      </c>
      <c r="V176" s="95">
        <f t="shared" si="127"/>
        <v>5.5289999999999981</v>
      </c>
      <c r="W176" s="58">
        <f t="shared" si="127"/>
        <v>8.7900000000000009</v>
      </c>
      <c r="X176" s="58">
        <f t="shared" si="127"/>
        <v>12.98</v>
      </c>
      <c r="Y176" s="62">
        <f t="shared" si="127"/>
        <v>16.63</v>
      </c>
    </row>
    <row r="178" spans="1:3" x14ac:dyDescent="0.25">
      <c r="A178" s="1" t="s">
        <v>147</v>
      </c>
    </row>
    <row r="179" spans="1:3" ht="15.75" thickBot="1" x14ac:dyDescent="0.3">
      <c r="A179" s="1" t="s">
        <v>135</v>
      </c>
    </row>
    <row r="180" spans="1:3" ht="15" customHeight="1" thickBot="1" x14ac:dyDescent="0.3">
      <c r="A180" s="111" t="s">
        <v>106</v>
      </c>
      <c r="B180" s="52" t="s">
        <v>149</v>
      </c>
      <c r="C180" s="120" t="s">
        <v>150</v>
      </c>
    </row>
    <row r="181" spans="1:3" x14ac:dyDescent="0.25">
      <c r="A181" s="113" t="s">
        <v>107</v>
      </c>
      <c r="B181" s="11">
        <v>0.75</v>
      </c>
      <c r="C181" s="121">
        <f>B181/B$184</f>
        <v>0.3</v>
      </c>
    </row>
    <row r="182" spans="1:3" x14ac:dyDescent="0.25">
      <c r="A182" s="12" t="s">
        <v>108</v>
      </c>
      <c r="B182" s="12">
        <v>0.75</v>
      </c>
      <c r="C182" s="96">
        <f t="shared" ref="C182:C183" si="131">B182/B$184</f>
        <v>0.3</v>
      </c>
    </row>
    <row r="183" spans="1:3" ht="15.75" thickBot="1" x14ac:dyDescent="0.3">
      <c r="A183" s="117" t="s">
        <v>134</v>
      </c>
      <c r="B183" s="117">
        <v>1</v>
      </c>
      <c r="C183" s="97">
        <f t="shared" si="131"/>
        <v>0.4</v>
      </c>
    </row>
    <row r="184" spans="1:3" ht="15.75" thickBot="1" x14ac:dyDescent="0.3">
      <c r="A184" s="14" t="s">
        <v>148</v>
      </c>
      <c r="B184" s="118">
        <f>SUM(B181:B183)</f>
        <v>2.5</v>
      </c>
      <c r="C184" s="119">
        <f>SUM(C181:C183)</f>
        <v>1</v>
      </c>
    </row>
    <row r="186" spans="1:3" ht="15.75" thickBot="1" x14ac:dyDescent="0.3">
      <c r="A186" s="1" t="s">
        <v>170</v>
      </c>
    </row>
    <row r="187" spans="1:3" ht="15.75" thickBot="1" x14ac:dyDescent="0.3">
      <c r="A187" s="150" t="s">
        <v>174</v>
      </c>
      <c r="B187" s="151" t="s">
        <v>171</v>
      </c>
      <c r="C187" s="151" t="s">
        <v>201</v>
      </c>
    </row>
    <row r="188" spans="1:3" ht="30" x14ac:dyDescent="0.25">
      <c r="A188" s="148" t="s">
        <v>186</v>
      </c>
      <c r="B188" s="56">
        <v>0.9</v>
      </c>
      <c r="C188" s="154">
        <f>B188/(B188+B189)</f>
        <v>0.6</v>
      </c>
    </row>
    <row r="189" spans="1:3" ht="30.75" thickBot="1" x14ac:dyDescent="0.3">
      <c r="A189" s="149" t="s">
        <v>187</v>
      </c>
      <c r="B189" s="58">
        <v>0.6</v>
      </c>
      <c r="C189" s="157">
        <f>B189/(B188+B189)</f>
        <v>0.39999999999999997</v>
      </c>
    </row>
    <row r="190" spans="1:3" ht="30" x14ac:dyDescent="0.25">
      <c r="A190" s="156" t="s">
        <v>188</v>
      </c>
      <c r="B190" s="7">
        <f>MAX(B167:Y176)</f>
        <v>25.310000000000002</v>
      </c>
      <c r="C190" s="8"/>
    </row>
    <row r="191" spans="1:3" ht="15.75" thickBot="1" x14ac:dyDescent="0.3">
      <c r="A191" s="131" t="s">
        <v>172</v>
      </c>
      <c r="B191" s="58">
        <v>0.8</v>
      </c>
      <c r="C191" s="62"/>
    </row>
    <row r="192" spans="1:3" x14ac:dyDescent="0.25">
      <c r="A192" s="1"/>
    </row>
    <row r="193" spans="1:25" ht="15.75" thickBot="1" x14ac:dyDescent="0.3">
      <c r="A193" s="1" t="s">
        <v>178</v>
      </c>
    </row>
    <row r="194" spans="1:25" ht="15.75" thickBot="1" x14ac:dyDescent="0.3">
      <c r="A194" s="233" t="s">
        <v>27</v>
      </c>
      <c r="B194" s="229" t="s">
        <v>136</v>
      </c>
      <c r="C194" s="235"/>
      <c r="D194" s="235"/>
      <c r="E194" s="235"/>
      <c r="F194" s="235"/>
      <c r="G194" s="235"/>
      <c r="H194" s="235"/>
      <c r="I194" s="236"/>
      <c r="J194" s="229" t="s">
        <v>137</v>
      </c>
      <c r="K194" s="235"/>
      <c r="L194" s="235"/>
      <c r="M194" s="235"/>
      <c r="N194" s="235"/>
      <c r="O194" s="235"/>
      <c r="P194" s="235"/>
      <c r="Q194" s="236"/>
      <c r="R194" s="229" t="s">
        <v>138</v>
      </c>
      <c r="S194" s="235"/>
      <c r="T194" s="235"/>
      <c r="U194" s="235"/>
      <c r="V194" s="235"/>
      <c r="W194" s="235"/>
      <c r="X194" s="235"/>
      <c r="Y194" s="236"/>
    </row>
    <row r="195" spans="1:25" ht="33.75" customHeight="1" thickBot="1" x14ac:dyDescent="0.3">
      <c r="A195" s="234"/>
      <c r="B195" s="226" t="s">
        <v>3</v>
      </c>
      <c r="C195" s="227"/>
      <c r="D195" s="227"/>
      <c r="E195" s="228"/>
      <c r="F195" s="229" t="s">
        <v>4</v>
      </c>
      <c r="G195" s="227"/>
      <c r="H195" s="227"/>
      <c r="I195" s="228"/>
      <c r="J195" s="226" t="s">
        <v>3</v>
      </c>
      <c r="K195" s="227"/>
      <c r="L195" s="227"/>
      <c r="M195" s="228"/>
      <c r="N195" s="229" t="s">
        <v>4</v>
      </c>
      <c r="O195" s="227"/>
      <c r="P195" s="227"/>
      <c r="Q195" s="228"/>
      <c r="R195" s="226" t="s">
        <v>3</v>
      </c>
      <c r="S195" s="227"/>
      <c r="T195" s="227"/>
      <c r="U195" s="228"/>
      <c r="V195" s="229" t="s">
        <v>4</v>
      </c>
      <c r="W195" s="227"/>
      <c r="X195" s="227"/>
      <c r="Y195" s="228"/>
    </row>
    <row r="196" spans="1:25" x14ac:dyDescent="0.25">
      <c r="A196" s="102" t="s">
        <v>25</v>
      </c>
      <c r="B196" s="15">
        <f>B167/$B$190</f>
        <v>0.25523508494666142</v>
      </c>
      <c r="C196" s="16">
        <f t="shared" ref="C196:Y205" si="132">C167/$B$190</f>
        <v>0.49782694587119708</v>
      </c>
      <c r="D196" s="16">
        <f t="shared" si="132"/>
        <v>0.62465428684314495</v>
      </c>
      <c r="E196" s="17">
        <f t="shared" si="132"/>
        <v>0.81608060055314102</v>
      </c>
      <c r="F196" s="15">
        <f t="shared" si="132"/>
        <v>0.32872382457526661</v>
      </c>
      <c r="G196" s="16">
        <f t="shared" si="132"/>
        <v>0.49782694587119708</v>
      </c>
      <c r="H196" s="16">
        <f t="shared" si="132"/>
        <v>0.62465428684314495</v>
      </c>
      <c r="I196" s="17">
        <f t="shared" si="132"/>
        <v>0.75187672856578425</v>
      </c>
      <c r="J196" s="15">
        <f t="shared" si="132"/>
        <v>0.16673251679178189</v>
      </c>
      <c r="K196" s="16">
        <f t="shared" si="132"/>
        <v>0.39075464243382063</v>
      </c>
      <c r="L196" s="16">
        <f t="shared" si="132"/>
        <v>0.59976293954958504</v>
      </c>
      <c r="M196" s="17">
        <f t="shared" si="132"/>
        <v>0.83820624259186094</v>
      </c>
      <c r="N196" s="15">
        <f t="shared" si="132"/>
        <v>0.22421967601738438</v>
      </c>
      <c r="O196" s="16">
        <f t="shared" si="132"/>
        <v>0.39075464243382063</v>
      </c>
      <c r="P196" s="16">
        <f t="shared" si="132"/>
        <v>0.59976293954958504</v>
      </c>
      <c r="Q196" s="17">
        <f t="shared" si="132"/>
        <v>0.75977874357961273</v>
      </c>
      <c r="R196" s="15">
        <f t="shared" si="132"/>
        <v>0.19932832872382458</v>
      </c>
      <c r="S196" s="16">
        <f t="shared" si="132"/>
        <v>0.39174239431054914</v>
      </c>
      <c r="T196" s="16">
        <f t="shared" si="132"/>
        <v>0.53555906756222826</v>
      </c>
      <c r="U196" s="17">
        <f t="shared" si="132"/>
        <v>0.72955353615171858</v>
      </c>
      <c r="V196" s="15">
        <f t="shared" si="132"/>
        <v>0.25401027261951792</v>
      </c>
      <c r="W196" s="16">
        <f t="shared" si="132"/>
        <v>0.39174239431054914</v>
      </c>
      <c r="X196" s="16">
        <f t="shared" si="132"/>
        <v>0.53555906756222826</v>
      </c>
      <c r="Y196" s="17">
        <f t="shared" si="132"/>
        <v>0.66495456341367054</v>
      </c>
    </row>
    <row r="197" spans="1:25" x14ac:dyDescent="0.25">
      <c r="A197" s="98" t="s">
        <v>14</v>
      </c>
      <c r="B197" s="135">
        <f t="shared" ref="B197:Q205" si="133">B168/$B$190</f>
        <v>4.5634136704859746E-2</v>
      </c>
      <c r="C197" s="129">
        <f t="shared" si="133"/>
        <v>0.17601738443303042</v>
      </c>
      <c r="D197" s="129">
        <f t="shared" si="133"/>
        <v>0.35855393125246932</v>
      </c>
      <c r="E197" s="136">
        <f t="shared" si="133"/>
        <v>0.55412880284472532</v>
      </c>
      <c r="F197" s="135">
        <f t="shared" si="133"/>
        <v>7.1868826550770468E-2</v>
      </c>
      <c r="G197" s="129">
        <f t="shared" si="133"/>
        <v>0.17601738443303042</v>
      </c>
      <c r="H197" s="129">
        <f t="shared" si="133"/>
        <v>0.35855393125246932</v>
      </c>
      <c r="I197" s="136">
        <f t="shared" si="133"/>
        <v>0.49111023310944302</v>
      </c>
      <c r="J197" s="135">
        <f t="shared" si="133"/>
        <v>4.5634136704859746E-2</v>
      </c>
      <c r="K197" s="129">
        <f t="shared" si="133"/>
        <v>0.21947846700908732</v>
      </c>
      <c r="L197" s="129">
        <f t="shared" si="133"/>
        <v>0.44547609640458313</v>
      </c>
      <c r="M197" s="136">
        <f t="shared" si="133"/>
        <v>0.66278150928486768</v>
      </c>
      <c r="N197" s="135">
        <f t="shared" si="133"/>
        <v>7.7637297510865289E-2</v>
      </c>
      <c r="O197" s="129">
        <f t="shared" si="133"/>
        <v>0.21947846700908732</v>
      </c>
      <c r="P197" s="129">
        <f t="shared" si="133"/>
        <v>0.44547609640458313</v>
      </c>
      <c r="Q197" s="136">
        <f t="shared" si="133"/>
        <v>0.5938364282892139</v>
      </c>
      <c r="R197" s="135">
        <f t="shared" si="132"/>
        <v>2.3903595416831288E-2</v>
      </c>
      <c r="S197" s="129">
        <f t="shared" si="132"/>
        <v>0.14342157250098778</v>
      </c>
      <c r="T197" s="129">
        <f t="shared" si="132"/>
        <v>0.32595811932042668</v>
      </c>
      <c r="U197" s="136">
        <f t="shared" si="132"/>
        <v>0.50967996839193996</v>
      </c>
      <c r="V197" s="135">
        <f t="shared" si="132"/>
        <v>4.0497826945871188E-2</v>
      </c>
      <c r="W197" s="129">
        <f t="shared" si="132"/>
        <v>0.14342157250098778</v>
      </c>
      <c r="X197" s="129">
        <f t="shared" si="132"/>
        <v>0.32595811932042668</v>
      </c>
      <c r="Y197" s="136">
        <f t="shared" si="132"/>
        <v>0.45160015804030029</v>
      </c>
    </row>
    <row r="198" spans="1:25" x14ac:dyDescent="0.25">
      <c r="A198" s="98" t="s">
        <v>15</v>
      </c>
      <c r="B198" s="135">
        <f t="shared" si="133"/>
        <v>0.15863295140260766</v>
      </c>
      <c r="C198" s="129">
        <f t="shared" si="132"/>
        <v>0.29336230738838404</v>
      </c>
      <c r="D198" s="129">
        <f t="shared" si="132"/>
        <v>0.50197550375345712</v>
      </c>
      <c r="E198" s="136">
        <f t="shared" si="132"/>
        <v>0.78881864875543251</v>
      </c>
      <c r="F198" s="135">
        <f t="shared" si="132"/>
        <v>0.20071118135124455</v>
      </c>
      <c r="G198" s="129">
        <f t="shared" si="132"/>
        <v>0.29336230738838404</v>
      </c>
      <c r="H198" s="129">
        <f t="shared" si="132"/>
        <v>0.50197550375345712</v>
      </c>
      <c r="I198" s="136">
        <f t="shared" si="132"/>
        <v>0.69103121295930447</v>
      </c>
      <c r="J198" s="135">
        <f t="shared" si="132"/>
        <v>0.28842354800474124</v>
      </c>
      <c r="K198" s="129">
        <f t="shared" si="132"/>
        <v>0.52647175029632554</v>
      </c>
      <c r="L198" s="129">
        <f t="shared" si="132"/>
        <v>0.72678783089687859</v>
      </c>
      <c r="M198" s="136">
        <f t="shared" si="132"/>
        <v>1</v>
      </c>
      <c r="N198" s="135">
        <f t="shared" si="132"/>
        <v>0.360134334255235</v>
      </c>
      <c r="O198" s="129">
        <f t="shared" si="132"/>
        <v>0.52647175029632554</v>
      </c>
      <c r="P198" s="129">
        <f t="shared" si="132"/>
        <v>0.72678783089687859</v>
      </c>
      <c r="Q198" s="136">
        <f t="shared" si="132"/>
        <v>0.90715132358751482</v>
      </c>
      <c r="R198" s="135">
        <f t="shared" si="132"/>
        <v>0.19063611220861315</v>
      </c>
      <c r="S198" s="129">
        <f t="shared" si="132"/>
        <v>0.37337020940339782</v>
      </c>
      <c r="T198" s="129">
        <f t="shared" si="132"/>
        <v>0.55195574871592257</v>
      </c>
      <c r="U198" s="136">
        <f t="shared" si="132"/>
        <v>0.80244962465428682</v>
      </c>
      <c r="V198" s="135">
        <f t="shared" si="132"/>
        <v>0.24693796918214136</v>
      </c>
      <c r="W198" s="129">
        <f t="shared" si="132"/>
        <v>0.37337020940339782</v>
      </c>
      <c r="X198" s="129">
        <f t="shared" si="132"/>
        <v>0.55195574871592257</v>
      </c>
      <c r="Y198" s="136">
        <f t="shared" si="132"/>
        <v>0.71750296325563001</v>
      </c>
    </row>
    <row r="199" spans="1:25" x14ac:dyDescent="0.25">
      <c r="A199" s="98" t="s">
        <v>16</v>
      </c>
      <c r="B199" s="135">
        <f t="shared" si="133"/>
        <v>0.2232319241406559</v>
      </c>
      <c r="C199" s="129">
        <f t="shared" si="132"/>
        <v>0.41781904385618324</v>
      </c>
      <c r="D199" s="129">
        <f t="shared" si="132"/>
        <v>0.57467404188067961</v>
      </c>
      <c r="E199" s="136">
        <f t="shared" si="132"/>
        <v>0.80244962465428671</v>
      </c>
      <c r="F199" s="135">
        <f t="shared" si="132"/>
        <v>0.28249703674436982</v>
      </c>
      <c r="G199" s="129">
        <f t="shared" si="132"/>
        <v>0.41781904385618324</v>
      </c>
      <c r="H199" s="129">
        <f t="shared" si="132"/>
        <v>0.57467404188067961</v>
      </c>
      <c r="I199" s="136">
        <f t="shared" si="132"/>
        <v>0.7254049782694586</v>
      </c>
      <c r="J199" s="135">
        <f t="shared" si="132"/>
        <v>0.24278941129988146</v>
      </c>
      <c r="K199" s="129">
        <f t="shared" si="132"/>
        <v>0.4677992888186488</v>
      </c>
      <c r="L199" s="129">
        <f t="shared" si="132"/>
        <v>0.65507704464638472</v>
      </c>
      <c r="M199" s="136">
        <f t="shared" si="132"/>
        <v>0.88265507704464641</v>
      </c>
      <c r="N199" s="135">
        <f t="shared" si="132"/>
        <v>0.3002765705254839</v>
      </c>
      <c r="O199" s="129">
        <f t="shared" si="132"/>
        <v>0.4677992888186488</v>
      </c>
      <c r="P199" s="129">
        <f t="shared" si="132"/>
        <v>0.65507704464638472</v>
      </c>
      <c r="Q199" s="136">
        <f t="shared" si="132"/>
        <v>0.80719083366258393</v>
      </c>
      <c r="R199" s="135">
        <f t="shared" si="132"/>
        <v>8.6724614776768086E-2</v>
      </c>
      <c r="S199" s="129">
        <f t="shared" si="132"/>
        <v>0.23765310154089289</v>
      </c>
      <c r="T199" s="129">
        <f t="shared" si="132"/>
        <v>0.42493085736862901</v>
      </c>
      <c r="U199" s="136">
        <f t="shared" si="132"/>
        <v>0.64065586724614787</v>
      </c>
      <c r="V199" s="135">
        <f t="shared" si="132"/>
        <v>0.12346898459107075</v>
      </c>
      <c r="W199" s="129">
        <f t="shared" si="132"/>
        <v>0.23765310154089289</v>
      </c>
      <c r="X199" s="129">
        <f t="shared" si="132"/>
        <v>0.42493085736862901</v>
      </c>
      <c r="Y199" s="136">
        <f t="shared" si="132"/>
        <v>0.57013038324772825</v>
      </c>
    </row>
    <row r="200" spans="1:25" x14ac:dyDescent="0.25">
      <c r="A200" s="98" t="s">
        <v>18</v>
      </c>
      <c r="B200" s="135">
        <f t="shared" si="133"/>
        <v>0.1758198340576847</v>
      </c>
      <c r="C200" s="129">
        <f t="shared" si="132"/>
        <v>0.32892137495061241</v>
      </c>
      <c r="D200" s="129">
        <f t="shared" si="132"/>
        <v>0.52923745555116553</v>
      </c>
      <c r="E200" s="136">
        <f t="shared" si="132"/>
        <v>0.80244962465428682</v>
      </c>
      <c r="F200" s="135">
        <f t="shared" si="132"/>
        <v>0.22382457526669303</v>
      </c>
      <c r="G200" s="129">
        <f t="shared" si="132"/>
        <v>0.32892137495061241</v>
      </c>
      <c r="H200" s="129">
        <f t="shared" si="132"/>
        <v>0.52923745555116553</v>
      </c>
      <c r="I200" s="136">
        <f t="shared" si="132"/>
        <v>0.70960094824180164</v>
      </c>
      <c r="J200" s="135">
        <f t="shared" si="132"/>
        <v>0.28842354800474124</v>
      </c>
      <c r="K200" s="129">
        <f t="shared" si="132"/>
        <v>0.52647175029632554</v>
      </c>
      <c r="L200" s="129">
        <f t="shared" si="132"/>
        <v>0.72678783089687859</v>
      </c>
      <c r="M200" s="136">
        <f t="shared" si="132"/>
        <v>1</v>
      </c>
      <c r="N200" s="135">
        <f t="shared" si="132"/>
        <v>0.360134334255235</v>
      </c>
      <c r="O200" s="129">
        <f t="shared" si="132"/>
        <v>0.52647175029632554</v>
      </c>
      <c r="P200" s="129">
        <f t="shared" si="132"/>
        <v>0.72678783089687859</v>
      </c>
      <c r="Q200" s="136">
        <f t="shared" si="132"/>
        <v>0.90715132358751482</v>
      </c>
      <c r="R200" s="135">
        <f t="shared" si="132"/>
        <v>0.10154089292769655</v>
      </c>
      <c r="S200" s="129">
        <f t="shared" si="132"/>
        <v>0.28210193599367833</v>
      </c>
      <c r="T200" s="129">
        <f t="shared" si="132"/>
        <v>0.447649150533386</v>
      </c>
      <c r="U200" s="136">
        <f t="shared" si="132"/>
        <v>0.64065586724614776</v>
      </c>
      <c r="V200" s="135">
        <f t="shared" si="132"/>
        <v>0.14658237850651912</v>
      </c>
      <c r="W200" s="129">
        <f t="shared" si="132"/>
        <v>0.28210193599367833</v>
      </c>
      <c r="X200" s="129">
        <f t="shared" si="132"/>
        <v>0.447649150533386</v>
      </c>
      <c r="Y200" s="136">
        <f t="shared" si="132"/>
        <v>0.57803239826155672</v>
      </c>
    </row>
    <row r="201" spans="1:25" x14ac:dyDescent="0.25">
      <c r="A201" s="98" t="s">
        <v>19</v>
      </c>
      <c r="B201" s="135">
        <f t="shared" si="133"/>
        <v>0.17759778743579616</v>
      </c>
      <c r="C201" s="129">
        <f t="shared" si="132"/>
        <v>0.3591465823785065</v>
      </c>
      <c r="D201" s="129">
        <f t="shared" si="132"/>
        <v>0.50296325563018562</v>
      </c>
      <c r="E201" s="136">
        <f t="shared" si="132"/>
        <v>0.68510470169893312</v>
      </c>
      <c r="F201" s="135">
        <f t="shared" si="132"/>
        <v>0.22263927301461867</v>
      </c>
      <c r="G201" s="129">
        <f t="shared" si="132"/>
        <v>0.3591465823785065</v>
      </c>
      <c r="H201" s="129">
        <f t="shared" si="132"/>
        <v>0.50296325563018562</v>
      </c>
      <c r="I201" s="136">
        <f t="shared" si="132"/>
        <v>0.62544448834452782</v>
      </c>
      <c r="J201" s="135">
        <f t="shared" si="132"/>
        <v>0.24278941129988146</v>
      </c>
      <c r="K201" s="129">
        <f t="shared" si="132"/>
        <v>0.4677992888186488</v>
      </c>
      <c r="L201" s="129">
        <f t="shared" si="132"/>
        <v>0.65507704464638472</v>
      </c>
      <c r="M201" s="136">
        <f t="shared" si="132"/>
        <v>0.88265507704464641</v>
      </c>
      <c r="N201" s="135">
        <f t="shared" si="132"/>
        <v>0.3002765705254839</v>
      </c>
      <c r="O201" s="129">
        <f t="shared" si="132"/>
        <v>0.4677992888186488</v>
      </c>
      <c r="P201" s="129">
        <f t="shared" si="132"/>
        <v>0.65507704464638472</v>
      </c>
      <c r="Q201" s="136">
        <f t="shared" si="132"/>
        <v>0.80719083366258393</v>
      </c>
      <c r="R201" s="135">
        <f t="shared" si="132"/>
        <v>4.5634136704859746E-2</v>
      </c>
      <c r="S201" s="129">
        <f t="shared" si="132"/>
        <v>0.17601738443303042</v>
      </c>
      <c r="T201" s="129">
        <f t="shared" si="132"/>
        <v>0.35855393125246937</v>
      </c>
      <c r="U201" s="136">
        <f t="shared" si="132"/>
        <v>0.55412880284472532</v>
      </c>
      <c r="V201" s="135">
        <f t="shared" si="132"/>
        <v>7.1868826550770468E-2</v>
      </c>
      <c r="W201" s="129">
        <f t="shared" si="132"/>
        <v>0.17601738443303042</v>
      </c>
      <c r="X201" s="129">
        <f t="shared" si="132"/>
        <v>0.35855393125246937</v>
      </c>
      <c r="Y201" s="136">
        <f t="shared" si="132"/>
        <v>0.49111023310944302</v>
      </c>
    </row>
    <row r="202" spans="1:25" x14ac:dyDescent="0.25">
      <c r="A202" s="98" t="s">
        <v>20</v>
      </c>
      <c r="B202" s="135">
        <f t="shared" si="133"/>
        <v>0.17759778743579616</v>
      </c>
      <c r="C202" s="129">
        <f t="shared" si="132"/>
        <v>0.3591465823785065</v>
      </c>
      <c r="D202" s="129">
        <f t="shared" si="132"/>
        <v>0.50296325563018562</v>
      </c>
      <c r="E202" s="136">
        <f t="shared" si="132"/>
        <v>0.68510470169893312</v>
      </c>
      <c r="F202" s="135">
        <f t="shared" si="132"/>
        <v>0.22263927301461867</v>
      </c>
      <c r="G202" s="129">
        <f t="shared" si="132"/>
        <v>0.3591465823785065</v>
      </c>
      <c r="H202" s="129">
        <f t="shared" si="132"/>
        <v>0.50296325563018562</v>
      </c>
      <c r="I202" s="136">
        <f t="shared" si="132"/>
        <v>0.62544448834452782</v>
      </c>
      <c r="J202" s="135">
        <f t="shared" si="132"/>
        <v>0.24278941129988146</v>
      </c>
      <c r="K202" s="129">
        <f t="shared" si="132"/>
        <v>0.4677992888186488</v>
      </c>
      <c r="L202" s="129">
        <f t="shared" si="132"/>
        <v>0.65507704464638472</v>
      </c>
      <c r="M202" s="136">
        <f t="shared" si="132"/>
        <v>0.88265507704464641</v>
      </c>
      <c r="N202" s="135">
        <f t="shared" si="132"/>
        <v>0.3002765705254839</v>
      </c>
      <c r="O202" s="129">
        <f t="shared" si="132"/>
        <v>0.4677992888186488</v>
      </c>
      <c r="P202" s="129">
        <f t="shared" si="132"/>
        <v>0.65507704464638472</v>
      </c>
      <c r="Q202" s="136">
        <f t="shared" si="132"/>
        <v>0.80719083366258393</v>
      </c>
      <c r="R202" s="135">
        <f t="shared" si="132"/>
        <v>8.6724614776768086E-2</v>
      </c>
      <c r="S202" s="129">
        <f t="shared" si="132"/>
        <v>0.23765310154089289</v>
      </c>
      <c r="T202" s="129">
        <f t="shared" si="132"/>
        <v>0.42493085736862901</v>
      </c>
      <c r="U202" s="136">
        <f t="shared" si="132"/>
        <v>0.64065586724614787</v>
      </c>
      <c r="V202" s="135">
        <f t="shared" si="132"/>
        <v>0.12346898459107075</v>
      </c>
      <c r="W202" s="129">
        <f t="shared" si="132"/>
        <v>0.23765310154089289</v>
      </c>
      <c r="X202" s="129">
        <f t="shared" si="132"/>
        <v>0.42493085736862901</v>
      </c>
      <c r="Y202" s="136">
        <f t="shared" si="132"/>
        <v>0.57013038324772825</v>
      </c>
    </row>
    <row r="203" spans="1:25" x14ac:dyDescent="0.25">
      <c r="A203" s="98" t="s">
        <v>21</v>
      </c>
      <c r="B203" s="135">
        <f t="shared" si="133"/>
        <v>0.20782299486369021</v>
      </c>
      <c r="C203" s="129">
        <f t="shared" si="132"/>
        <v>0.40892927696562625</v>
      </c>
      <c r="D203" s="129">
        <f t="shared" si="132"/>
        <v>0.57921770051363097</v>
      </c>
      <c r="E203" s="136">
        <f t="shared" si="132"/>
        <v>0.81608060055314102</v>
      </c>
      <c r="F203" s="135">
        <f t="shared" si="132"/>
        <v>0.27005136309758981</v>
      </c>
      <c r="G203" s="129">
        <f t="shared" si="132"/>
        <v>0.40892927696562625</v>
      </c>
      <c r="H203" s="129">
        <f t="shared" si="132"/>
        <v>0.57921770051363097</v>
      </c>
      <c r="I203" s="136">
        <f t="shared" si="132"/>
        <v>0.73607269853812707</v>
      </c>
      <c r="J203" s="135">
        <f t="shared" si="132"/>
        <v>0.16673251679178189</v>
      </c>
      <c r="K203" s="129">
        <f t="shared" si="132"/>
        <v>0.39075464243382063</v>
      </c>
      <c r="L203" s="129">
        <f t="shared" si="132"/>
        <v>0.59976293954958504</v>
      </c>
      <c r="M203" s="136">
        <f t="shared" si="132"/>
        <v>0.83820624259186094</v>
      </c>
      <c r="N203" s="135">
        <f t="shared" si="132"/>
        <v>0.22421967601738438</v>
      </c>
      <c r="O203" s="129">
        <f t="shared" si="132"/>
        <v>0.39075464243382063</v>
      </c>
      <c r="P203" s="129">
        <f t="shared" si="132"/>
        <v>0.59976293954958504</v>
      </c>
      <c r="Q203" s="136">
        <f t="shared" si="132"/>
        <v>0.75977874357961273</v>
      </c>
      <c r="R203" s="135">
        <f t="shared" si="132"/>
        <v>0.17759778743579616</v>
      </c>
      <c r="S203" s="129">
        <f t="shared" si="132"/>
        <v>0.3591465823785065</v>
      </c>
      <c r="T203" s="129">
        <f t="shared" si="132"/>
        <v>0.50296325563018562</v>
      </c>
      <c r="U203" s="136">
        <f t="shared" si="132"/>
        <v>0.68510470169893312</v>
      </c>
      <c r="V203" s="135">
        <f t="shared" si="132"/>
        <v>0.22263927301461867</v>
      </c>
      <c r="W203" s="129">
        <f t="shared" si="132"/>
        <v>0.3591465823785065</v>
      </c>
      <c r="X203" s="129">
        <f t="shared" si="132"/>
        <v>0.50296325563018562</v>
      </c>
      <c r="Y203" s="136">
        <f t="shared" si="132"/>
        <v>0.62544448834452782</v>
      </c>
    </row>
    <row r="204" spans="1:25" x14ac:dyDescent="0.25">
      <c r="A204" s="98" t="s">
        <v>23</v>
      </c>
      <c r="B204" s="135">
        <f t="shared" si="133"/>
        <v>0.1758198340576847</v>
      </c>
      <c r="C204" s="129">
        <f t="shared" si="132"/>
        <v>0.32892137495061241</v>
      </c>
      <c r="D204" s="129">
        <f t="shared" si="132"/>
        <v>0.52923745555116553</v>
      </c>
      <c r="E204" s="136">
        <f t="shared" si="132"/>
        <v>0.80244962465428682</v>
      </c>
      <c r="F204" s="135">
        <f t="shared" si="132"/>
        <v>0.22382457526669303</v>
      </c>
      <c r="G204" s="129">
        <f t="shared" si="132"/>
        <v>0.32892137495061241</v>
      </c>
      <c r="H204" s="129">
        <f t="shared" si="132"/>
        <v>0.52923745555116553</v>
      </c>
      <c r="I204" s="136">
        <f t="shared" si="132"/>
        <v>0.70960094824180164</v>
      </c>
      <c r="J204" s="135">
        <f t="shared" si="132"/>
        <v>0.19932832872382458</v>
      </c>
      <c r="K204" s="129">
        <f t="shared" si="132"/>
        <v>0.43520347688660604</v>
      </c>
      <c r="L204" s="129">
        <f t="shared" si="132"/>
        <v>0.62248123271434208</v>
      </c>
      <c r="M204" s="136">
        <f t="shared" si="132"/>
        <v>0.83820624259186083</v>
      </c>
      <c r="N204" s="135">
        <f t="shared" si="132"/>
        <v>0.25977874357961273</v>
      </c>
      <c r="O204" s="129">
        <f t="shared" si="132"/>
        <v>0.43520347688660604</v>
      </c>
      <c r="P204" s="129">
        <f t="shared" si="132"/>
        <v>0.62248123271434208</v>
      </c>
      <c r="Q204" s="136">
        <f t="shared" si="132"/>
        <v>0.76768075859344143</v>
      </c>
      <c r="R204" s="135">
        <f t="shared" si="132"/>
        <v>0.10154089292769655</v>
      </c>
      <c r="S204" s="129">
        <f t="shared" si="132"/>
        <v>0.28210193599367833</v>
      </c>
      <c r="T204" s="129">
        <f t="shared" si="132"/>
        <v>0.447649150533386</v>
      </c>
      <c r="U204" s="136">
        <f t="shared" si="132"/>
        <v>0.64065586724614776</v>
      </c>
      <c r="V204" s="135">
        <f t="shared" si="132"/>
        <v>0.14658237850651912</v>
      </c>
      <c r="W204" s="129">
        <f t="shared" si="132"/>
        <v>0.28210193599367833</v>
      </c>
      <c r="X204" s="129">
        <f t="shared" si="132"/>
        <v>0.447649150533386</v>
      </c>
      <c r="Y204" s="136">
        <f t="shared" si="132"/>
        <v>0.57803239826155672</v>
      </c>
    </row>
    <row r="205" spans="1:25" ht="15.75" thickBot="1" x14ac:dyDescent="0.3">
      <c r="A205" s="99" t="s">
        <v>24</v>
      </c>
      <c r="B205" s="138">
        <f t="shared" si="133"/>
        <v>8.6724614776768086E-2</v>
      </c>
      <c r="C205" s="139">
        <f t="shared" si="132"/>
        <v>0.23765310154089292</v>
      </c>
      <c r="D205" s="139">
        <f t="shared" si="132"/>
        <v>0.4249308573686289</v>
      </c>
      <c r="E205" s="140">
        <f t="shared" si="132"/>
        <v>0.64065586724614776</v>
      </c>
      <c r="F205" s="138">
        <f t="shared" si="132"/>
        <v>0.12346898459107075</v>
      </c>
      <c r="G205" s="139">
        <f t="shared" si="132"/>
        <v>0.23765310154089292</v>
      </c>
      <c r="H205" s="139">
        <f t="shared" si="132"/>
        <v>0.4249308573686289</v>
      </c>
      <c r="I205" s="140">
        <f t="shared" si="132"/>
        <v>0.57013038324772825</v>
      </c>
      <c r="J205" s="138">
        <f t="shared" si="132"/>
        <v>0.19932832872382458</v>
      </c>
      <c r="K205" s="139">
        <f t="shared" si="132"/>
        <v>0.43520347688660604</v>
      </c>
      <c r="L205" s="139">
        <f t="shared" si="132"/>
        <v>0.62248123271434208</v>
      </c>
      <c r="M205" s="140">
        <f t="shared" si="132"/>
        <v>0.83820624259186083</v>
      </c>
      <c r="N205" s="138">
        <f t="shared" si="132"/>
        <v>0.25977874357961273</v>
      </c>
      <c r="O205" s="139">
        <f t="shared" si="132"/>
        <v>0.43520347688660604</v>
      </c>
      <c r="P205" s="139">
        <f t="shared" si="132"/>
        <v>0.62248123271434208</v>
      </c>
      <c r="Q205" s="140">
        <f t="shared" si="132"/>
        <v>0.76768075859344143</v>
      </c>
      <c r="R205" s="138">
        <f t="shared" si="132"/>
        <v>0.16673251679178189</v>
      </c>
      <c r="S205" s="139">
        <f t="shared" si="132"/>
        <v>0.34729355985776372</v>
      </c>
      <c r="T205" s="139">
        <f t="shared" si="132"/>
        <v>0.51284077439747133</v>
      </c>
      <c r="U205" s="140">
        <f t="shared" si="132"/>
        <v>0.72955353615171858</v>
      </c>
      <c r="V205" s="138">
        <f t="shared" si="132"/>
        <v>0.21845120505728952</v>
      </c>
      <c r="W205" s="139">
        <f t="shared" si="132"/>
        <v>0.34729355985776372</v>
      </c>
      <c r="X205" s="139">
        <f t="shared" si="132"/>
        <v>0.51284077439747133</v>
      </c>
      <c r="Y205" s="140">
        <f t="shared" si="132"/>
        <v>0.65705254839984184</v>
      </c>
    </row>
    <row r="206" spans="1:25" x14ac:dyDescent="0.25">
      <c r="A206" s="1"/>
    </row>
    <row r="208" spans="1:25" x14ac:dyDescent="0.25">
      <c r="A208" s="250" t="s">
        <v>155</v>
      </c>
      <c r="B208" s="248"/>
      <c r="C208" s="248"/>
      <c r="D208" s="248"/>
      <c r="E208" s="248"/>
      <c r="F208" s="248"/>
      <c r="G208" s="248"/>
      <c r="H208" s="248"/>
      <c r="I208" s="248"/>
    </row>
    <row r="209" spans="1:10" x14ac:dyDescent="0.25">
      <c r="A209" s="251" t="s">
        <v>156</v>
      </c>
      <c r="B209" s="248"/>
      <c r="C209" s="248"/>
      <c r="D209" s="248"/>
      <c r="F209" s="251" t="s">
        <v>157</v>
      </c>
      <c r="G209" s="251"/>
      <c r="H209" s="251"/>
      <c r="I209" s="251"/>
      <c r="J209" s="248"/>
    </row>
    <row r="211" spans="1:10" x14ac:dyDescent="0.25">
      <c r="A211" s="122" t="s">
        <v>25</v>
      </c>
      <c r="B211" s="128">
        <f>1-(ABS(B196-B196)+ABS(C196-C196)+ABS(D196-D196)+ABS(E196-E196))/4</f>
        <v>1</v>
      </c>
      <c r="C211" s="128">
        <f>1-(ABS(B196-J196)+ABS(C196-K196)+ABS(D196-L196)+ABS(E196-M196))/4</f>
        <v>0.93935203476886608</v>
      </c>
      <c r="D211" s="128">
        <f>1-(ABS(B196-R196)+ABS(C196-S196)+ABS(D196-T196)+ABS(E196-U196))/4</f>
        <v>0.91559660213354399</v>
      </c>
      <c r="F211" s="122" t="s">
        <v>25</v>
      </c>
      <c r="G211" s="128">
        <f>1-(ABS(F196-F196)+ABS(G196-G196)+ABS(H196-H196)+ABS(I196-I196))/4</f>
        <v>1</v>
      </c>
      <c r="H211" s="128">
        <f>1-(ABS(F196-N196)+ABS(G196-O196)+ABS(H196-P196)+ABS(I196-Q196))/4</f>
        <v>0.93890754642433827</v>
      </c>
      <c r="I211" s="128">
        <f>1-(ABS(F196-V196)+ABS(G196-W196)+ABS(H196-X196)+ABS(I196-Y196))/4</f>
        <v>0.9107961280126432</v>
      </c>
    </row>
    <row r="212" spans="1:10" x14ac:dyDescent="0.25">
      <c r="B212" s="128">
        <f>1-(ABS(J196-B196)+ABS(K196-C196)+ABS(L196-D196)+ABS(M196-E196))/4</f>
        <v>0.93935203476886608</v>
      </c>
      <c r="C212" s="128">
        <f>1-(ABS(J196-J196)+ABS(K196-K196)+ABS(L196-L196)+ABS(M196-M196))/4</f>
        <v>1</v>
      </c>
      <c r="D212" s="128">
        <f>1-(ABS(J196-R196)+ABS(K196-S196)+ABS(L196-T196)+ABS(M196-U196))/4</f>
        <v>0.94838996444093238</v>
      </c>
      <c r="G212" s="128">
        <f>1-(ABS(N196-F196)+ABS(O196-G196)+ABS(P196-H196)+ABS(Q196-I196))/4</f>
        <v>0.93890754642433827</v>
      </c>
      <c r="H212" s="128">
        <f>1-(ABS(N196-N196)+ABS(O196-O196)+ABS(P196-P196)+ABS(Q196-Q196))/4</f>
        <v>1</v>
      </c>
      <c r="I212" s="128">
        <f>1-(ABS(N196-V196)+ABS(O196-W196)+ABS(P196-X196)+ABS(Q196-Y196))/4</f>
        <v>0.95254839984195971</v>
      </c>
    </row>
    <row r="213" spans="1:10" x14ac:dyDescent="0.25">
      <c r="B213" s="128">
        <f>1-(ABS(R196-B196)+ABS(S196-C196)+ABS(T196-D196)+ABS(U196-E196))/4</f>
        <v>0.91559660213354399</v>
      </c>
      <c r="C213" s="128">
        <f>1-(ABS(R196-J196)+ABS(S196-K196)+ABS(T196-L196)+ABS(U196-M196))/4</f>
        <v>0.94838996444093238</v>
      </c>
      <c r="D213" s="128">
        <f>1-(ABS(R196-R196)+ABS(S196-S196)+ABS(T196-T196)+ABS(U196-U196))/4</f>
        <v>1</v>
      </c>
      <c r="G213" s="128">
        <f>1-(ABS(V196-F196)+ABS(W196-G196)+ABS(X196-H196)+ABS(Y196-I196))/4</f>
        <v>0.9107961280126432</v>
      </c>
      <c r="H213" s="128">
        <f>1-(ABS(V196-N196)+ABS(W196-O196)+ABS(X196-P196)+ABS(Y196-Q196))/4</f>
        <v>0.95254839984195971</v>
      </c>
      <c r="I213" s="128">
        <f>1-(ABS(V196-V196)+ABS(W196-W196)+ABS(X196-X196)+ABS(Y196-Y196))/4</f>
        <v>1</v>
      </c>
    </row>
    <row r="214" spans="1:10" x14ac:dyDescent="0.25">
      <c r="B214" s="128"/>
      <c r="C214" s="128"/>
      <c r="D214" s="128"/>
      <c r="G214" s="128"/>
      <c r="H214" s="128"/>
      <c r="I214" s="128"/>
    </row>
    <row r="215" spans="1:10" x14ac:dyDescent="0.25">
      <c r="A215" s="122" t="s">
        <v>14</v>
      </c>
      <c r="B215" s="128">
        <f>1-(ABS(B197-B197)+ABS(C197-C197)+ABS(D197-D197)+ABS(E197-E197))/4</f>
        <v>1</v>
      </c>
      <c r="C215" s="128">
        <f>1-(ABS(B197-J197)+ABS(C197-K197)+ABS(D197-L197)+ABS(E197-M197))/4</f>
        <v>0.94024101145792172</v>
      </c>
      <c r="D215" s="128">
        <f>1-(ABS(B197-R197)+ABS(C197-S197)+ABS(D197-T197)+ABS(E197-U197))/4</f>
        <v>0.96715725009877518</v>
      </c>
      <c r="F215" s="122" t="s">
        <v>14</v>
      </c>
      <c r="G215" s="128">
        <f>1-(ABS(F197-F197)+ABS(G197-G197)+ABS(H197-H197)+ABS(I197-I197))/4</f>
        <v>1</v>
      </c>
      <c r="H215" s="128">
        <f>1-(ABS(F197-N197)+ABS(G197-O197)+ABS(H197-P197)+ABS(I197-Q197))/4</f>
        <v>0.94028052153299091</v>
      </c>
      <c r="I215" s="128">
        <f>1-(ABS(F197-V197)+ABS(G197-W197)+ABS(H197-X197)+ABS(I197-Y197))/4</f>
        <v>0.96598182536546817</v>
      </c>
    </row>
    <row r="216" spans="1:10" x14ac:dyDescent="0.25">
      <c r="B216" s="128">
        <f>1-(ABS(J197-B197)+ABS(K197-C197)+ABS(L197-D197)+ABS(M197-E197))/4</f>
        <v>0.94024101145792172</v>
      </c>
      <c r="C216" s="128">
        <f>1-(ABS(J197-J197)+ABS(K197-K197)+ABS(L197-L197)+ABS(M197-M197))/4</f>
        <v>1</v>
      </c>
      <c r="D216" s="128">
        <f>1-(ABS(J197-R197)+ABS(K197-S197)+ABS(L197-T197)+ABS(M197-U197))/4</f>
        <v>0.90739826155669689</v>
      </c>
      <c r="G216" s="128">
        <f>1-(ABS(N197-F197)+ABS(O197-G197)+ABS(P197-H197)+ABS(Q197-I197))/4</f>
        <v>0.94028052153299091</v>
      </c>
      <c r="H216" s="128">
        <f>1-(ABS(N197-N197)+ABS(O197-O197)+ABS(P197-P197)+ABS(Q197-Q197))/4</f>
        <v>1</v>
      </c>
      <c r="I216" s="128">
        <f>1-(ABS(N197-V197)+ABS(O197-W197)+ABS(P197-X197)+ABS(Q197-Y197))/4</f>
        <v>0.90626234689845908</v>
      </c>
    </row>
    <row r="217" spans="1:10" x14ac:dyDescent="0.25">
      <c r="B217" s="128">
        <f>1-(ABS(R197-B197)+ABS(S197-C197)+ABS(T197-D197)+ABS(U197-E197))/4</f>
        <v>0.96715725009877518</v>
      </c>
      <c r="C217" s="128">
        <f>1-(ABS(R197-J197)+ABS(S197-K197)+ABS(T197-L197)+ABS(U197-M197))/4</f>
        <v>0.90739826155669689</v>
      </c>
      <c r="D217" s="128">
        <f>1-(ABS(R197-R197)+ABS(S197-S197)+ABS(T197-T197)+ABS(U197-U197))/4</f>
        <v>1</v>
      </c>
      <c r="G217" s="128">
        <f>1-(ABS(V197-F197)+ABS(W197-G197)+ABS(X197-H197)+ABS(Y197-I197))/4</f>
        <v>0.96598182536546817</v>
      </c>
      <c r="H217" s="128">
        <f>1-(ABS(V197-N197)+ABS(W197-O197)+ABS(X197-P197)+ABS(Y197-Q197))/4</f>
        <v>0.90626234689845908</v>
      </c>
      <c r="I217" s="128">
        <f>1-(ABS(V197-V197)+ABS(W197-W197)+ABS(X197-X197)+ABS(Y197-Y197))/4</f>
        <v>1</v>
      </c>
    </row>
    <row r="218" spans="1:10" x14ac:dyDescent="0.25">
      <c r="B218" s="128"/>
      <c r="C218" s="128"/>
      <c r="D218" s="128"/>
      <c r="G218" s="128"/>
      <c r="H218" s="128"/>
      <c r="I218" s="128"/>
    </row>
    <row r="219" spans="1:10" x14ac:dyDescent="0.25">
      <c r="A219" s="122" t="s">
        <v>15</v>
      </c>
      <c r="B219" s="128">
        <f>1-(ABS(B198-B198)+ABS(C198-C198)+ABS(D198-D198)+ABS(E198-E198))/4</f>
        <v>1</v>
      </c>
      <c r="C219" s="128">
        <f>1-(ABS(B198-J198)+ABS(C198-K198)+ABS(D198-L198)+ABS(E198-M198))/4</f>
        <v>0.80027657052548395</v>
      </c>
      <c r="D219" s="128">
        <f>1-(ABS(B198-R198)+ABS(C198-S198)+ABS(D198-T198)+ABS(E198-U198))/4</f>
        <v>0.95609442907941522</v>
      </c>
      <c r="F219" s="122" t="s">
        <v>15</v>
      </c>
      <c r="G219" s="128">
        <f>1-(ABS(F198-F198)+ABS(G198-G198)+ABS(H198-H198)+ABS(I198-I198))/4</f>
        <v>1</v>
      </c>
      <c r="H219" s="128">
        <f>1-(ABS(F198-N198)+ABS(G198-O198)+ABS(H198-P198)+ABS(I198-Q198))/4</f>
        <v>0.79163374160410904</v>
      </c>
      <c r="I219" s="128">
        <f>1-(ABS(F198-V198)+ABS(G198-W198)+ABS(H198-X198)+ABS(I198-Y198))/4</f>
        <v>0.94932832872382455</v>
      </c>
    </row>
    <row r="220" spans="1:10" x14ac:dyDescent="0.25">
      <c r="B220" s="128">
        <f>1-(ABS(J198-B198)+ABS(K198-C198)+ABS(L198-D198)+ABS(M198-E198))/4</f>
        <v>0.80027657052548395</v>
      </c>
      <c r="C220" s="128">
        <f>1-(ABS(J198-J198)+ABS(K198-K198)+ABS(L198-L198)+ABS(M198-M198))/4</f>
        <v>1</v>
      </c>
      <c r="D220" s="128">
        <f>1-(ABS(J198-R198)+ABS(K198-S198)+ABS(L198-T198)+ABS(M198-U198))/4</f>
        <v>0.84418214144606873</v>
      </c>
      <c r="G220" s="128">
        <f>1-(ABS(N198-F198)+ABS(O198-G198)+ABS(P198-H198)+ABS(Q198-I198))/4</f>
        <v>0.79163374160410904</v>
      </c>
      <c r="H220" s="128">
        <f>1-(ABS(N198-N198)+ABS(O198-O198)+ABS(P198-P198)+ABS(Q198-Q198))/4</f>
        <v>1</v>
      </c>
      <c r="I220" s="128">
        <f>1-(ABS(N198-V198)+ABS(O198-W198)+ABS(P198-X198)+ABS(Q198-Y198))/4</f>
        <v>0.84230541288028449</v>
      </c>
    </row>
    <row r="221" spans="1:10" x14ac:dyDescent="0.25">
      <c r="B221" s="128">
        <f>1-(ABS(R198-B198)+ABS(S198-C198)+ABS(T198-D198)+ABS(U198-E198))/4</f>
        <v>0.95609442907941522</v>
      </c>
      <c r="C221" s="128">
        <f>1-(ABS(R198-J198)+ABS(S198-K198)+ABS(T198-L198)+ABS(U198-M198))/4</f>
        <v>0.84418214144606873</v>
      </c>
      <c r="D221" s="128">
        <f>1-(ABS(R198-R198)+ABS(S198-S198)+ABS(T198-T198)+ABS(U198-U198))/4</f>
        <v>1</v>
      </c>
      <c r="G221" s="128">
        <f>1-(ABS(V198-F198)+ABS(W198-G198)+ABS(X198-H198)+ABS(Y198-I198))/4</f>
        <v>0.94932832872382455</v>
      </c>
      <c r="H221" s="128">
        <f>1-(ABS(V198-N198)+ABS(W198-O198)+ABS(X198-P198)+ABS(Y198-Q198))/4</f>
        <v>0.84230541288028449</v>
      </c>
      <c r="I221" s="128">
        <f>1-(ABS(V198-V198)+ABS(W198-W198)+ABS(X198-X198)+ABS(Y198-Y198))/4</f>
        <v>1</v>
      </c>
    </row>
    <row r="222" spans="1:10" x14ac:dyDescent="0.25">
      <c r="B222" s="128"/>
      <c r="C222" s="128"/>
      <c r="D222" s="128"/>
      <c r="G222" s="128"/>
      <c r="H222" s="128"/>
      <c r="I222" s="128"/>
    </row>
    <row r="223" spans="1:10" x14ac:dyDescent="0.25">
      <c r="A223" s="122" t="s">
        <v>16</v>
      </c>
      <c r="B223" s="128">
        <f>1-(ABS(B199-B199)+ABS(C199-C199)+ABS(D199-D199)+ABS(E199-E199))/4</f>
        <v>1</v>
      </c>
      <c r="C223" s="128">
        <f>1-(ABS(B199-J199)+ABS(C199-K199)+ABS(D199-L199)+ABS(E199-M199))/4</f>
        <v>0.94246345318056102</v>
      </c>
      <c r="D223" s="128">
        <f>1-(ABS(B199-R199)+ABS(C199-S199)+ABS(D199-T199)+ABS(E199-U199))/4</f>
        <v>0.84294745160015805</v>
      </c>
      <c r="F223" s="122" t="s">
        <v>16</v>
      </c>
      <c r="G223" s="128">
        <f>1-(ABS(F199-F199)+ABS(G199-G199)+ABS(H199-H199)+ABS(I199-I199))/4</f>
        <v>1</v>
      </c>
      <c r="H223" s="128">
        <f>1-(ABS(F199-N199)+ABS(G199-O199)+ABS(H199-P199)+ABS(I199-Q199))/4</f>
        <v>0.94251284077439745</v>
      </c>
      <c r="I223" s="128">
        <f>1-(ABS(F199-V199)+ABS(G199-W199)+ABS(H199-X199)+ABS(I199-Y199))/4</f>
        <v>0.83894705649940737</v>
      </c>
    </row>
    <row r="224" spans="1:10" x14ac:dyDescent="0.25">
      <c r="B224" s="128">
        <f>1-(ABS(J199-B199)+ABS(K199-C199)+ABS(L199-D199)+ABS(M199-E199))/4</f>
        <v>0.94246345318056102</v>
      </c>
      <c r="C224" s="128">
        <f>1-(ABS(J199-J199)+ABS(K199-K199)+ABS(L199-L199)+ABS(M199-M199))/4</f>
        <v>1</v>
      </c>
      <c r="D224" s="128">
        <f>1-(ABS(J199-R199)+ABS(K199-S199)+ABS(L199-T199)+ABS(M199-U199))/4</f>
        <v>0.78541090478071918</v>
      </c>
      <c r="G224" s="128">
        <f>1-(ABS(N199-F199)+ABS(O199-G199)+ABS(P199-H199)+ABS(Q199-I199))/4</f>
        <v>0.94251284077439745</v>
      </c>
      <c r="H224" s="128">
        <f>1-(ABS(N199-N199)+ABS(O199-O199)+ABS(P199-P199)+ABS(Q199-Q199))/4</f>
        <v>1</v>
      </c>
      <c r="I224" s="128">
        <f>1-(ABS(N199-V199)+ABS(O199-W199)+ABS(P199-X199)+ABS(Q199-Y199))/4</f>
        <v>0.78145989727380494</v>
      </c>
    </row>
    <row r="225" spans="1:9" x14ac:dyDescent="0.25">
      <c r="B225" s="128">
        <f>1-(ABS(R199-B199)+ABS(S199-C199)+ABS(T199-D199)+ABS(U199-E199))/4</f>
        <v>0.84294745160015805</v>
      </c>
      <c r="C225" s="128">
        <f>1-(ABS(R199-J199)+ABS(S199-K199)+ABS(T199-L199)+ABS(U199-M199))/4</f>
        <v>0.78541090478071918</v>
      </c>
      <c r="D225" s="128">
        <f>1-(ABS(R199-R199)+ABS(S199-S199)+ABS(T199-T199)+ABS(U199-U199))/4</f>
        <v>1</v>
      </c>
      <c r="G225" s="128">
        <f>1-(ABS(V199-F199)+ABS(W199-G199)+ABS(X199-H199)+ABS(Y199-I199))/4</f>
        <v>0.83894705649940737</v>
      </c>
      <c r="H225" s="128">
        <f>1-(ABS(V199-N199)+ABS(W199-O199)+ABS(X199-P199)+ABS(Y199-Q199))/4</f>
        <v>0.78145989727380494</v>
      </c>
      <c r="I225" s="128">
        <f>1-(ABS(V199-V199)+ABS(W199-W199)+ABS(X199-X199)+ABS(Y199-Y199))/4</f>
        <v>1</v>
      </c>
    </row>
    <row r="226" spans="1:9" x14ac:dyDescent="0.25">
      <c r="B226" s="128"/>
      <c r="C226" s="128"/>
      <c r="D226" s="128"/>
      <c r="G226" s="128"/>
      <c r="H226" s="128"/>
      <c r="I226" s="128"/>
    </row>
    <row r="227" spans="1:9" x14ac:dyDescent="0.25">
      <c r="A227" s="122" t="s">
        <v>18</v>
      </c>
      <c r="B227" s="128">
        <f>1-(ABS(B200-B200)+ABS(C200-C200)+ABS(D200-D200)+ABS(E200-E200))/4</f>
        <v>1</v>
      </c>
      <c r="C227" s="128">
        <f>1-(ABS(B200-J200)+ABS(C200-K200)+ABS(D200-L200)+ABS(E200-M200))/4</f>
        <v>0.82368629000395099</v>
      </c>
      <c r="D227" s="128">
        <f>1-(ABS(B200-R200)+ABS(C200-S200)+ABS(D200-T200)+ABS(E200-U200))/4</f>
        <v>0.90887988937178976</v>
      </c>
      <c r="F227" s="122" t="s">
        <v>18</v>
      </c>
      <c r="G227" s="128">
        <f>1-(ABS(F200-F200)+ABS(G200-G200)+ABS(H200-H200)+ABS(I200-I200))/4</f>
        <v>1</v>
      </c>
      <c r="H227" s="128">
        <f>1-(ABS(F200-N200)+ABS(G200-O200)+ABS(H200-P200)+ABS(I200-Q200))/4</f>
        <v>0.81775977874357964</v>
      </c>
      <c r="I227" s="128">
        <f>1-(ABS(F200-V200)+ABS(G200-W200)+ABS(H200-X200)+ABS(I200-Y200))/4</f>
        <v>0.91569537732121686</v>
      </c>
    </row>
    <row r="228" spans="1:9" x14ac:dyDescent="0.25">
      <c r="B228" s="128">
        <f>1-(ABS(J200-B200)+ABS(K200-C200)+ABS(L200-D200)+ABS(M200-E200))/4</f>
        <v>0.82368629000395099</v>
      </c>
      <c r="C228" s="128">
        <f>1-(ABS(J200-J200)+ABS(K200-K200)+ABS(L200-L200)+ABS(M200-M200))/4</f>
        <v>1</v>
      </c>
      <c r="D228" s="128">
        <f>1-(ABS(J200-R200)+ABS(K200-S200)+ABS(L200-T200)+ABS(M200-U200))/4</f>
        <v>0.73256617937574076</v>
      </c>
      <c r="G228" s="128">
        <f>1-(ABS(N200-F200)+ABS(O200-G200)+ABS(P200-H200)+ABS(Q200-I200))/4</f>
        <v>0.81775977874357964</v>
      </c>
      <c r="H228" s="128">
        <f>1-(ABS(N200-N200)+ABS(O200-O200)+ABS(P200-P200)+ABS(Q200-Q200))/4</f>
        <v>1</v>
      </c>
      <c r="I228" s="128">
        <f>1-(ABS(N200-V200)+ABS(O200-W200)+ABS(P200-X200)+ABS(Q200-Y200))/4</f>
        <v>0.73345515606479661</v>
      </c>
    </row>
    <row r="229" spans="1:9" x14ac:dyDescent="0.25">
      <c r="B229" s="128">
        <f>1-(ABS(R200-B200)+ABS(S200-C200)+ABS(T200-D200)+ABS(U200-E200))/4</f>
        <v>0.90887988937178976</v>
      </c>
      <c r="C229" s="128">
        <f>1-(ABS(R200-J200)+ABS(S200-K200)+ABS(T200-L200)+ABS(U200-M200))/4</f>
        <v>0.73256617937574076</v>
      </c>
      <c r="D229" s="128">
        <f>1-(ABS(R200-R200)+ABS(S200-S200)+ABS(T200-T200)+ABS(U200-U200))/4</f>
        <v>1</v>
      </c>
      <c r="G229" s="128">
        <f>1-(ABS(V200-F200)+ABS(W200-G200)+ABS(X200-H200)+ABS(Y200-I200))/4</f>
        <v>0.91569537732121686</v>
      </c>
      <c r="H229" s="128">
        <f>1-(ABS(V200-N200)+ABS(W200-O200)+ABS(X200-P200)+ABS(Y200-Q200))/4</f>
        <v>0.73345515606479661</v>
      </c>
      <c r="I229" s="128">
        <f>1-(ABS(V200-V200)+ABS(W200-W200)+ABS(X200-X200)+ABS(Y200-Y200))/4</f>
        <v>1</v>
      </c>
    </row>
    <row r="230" spans="1:9" x14ac:dyDescent="0.25">
      <c r="B230" s="128"/>
      <c r="C230" s="128"/>
      <c r="D230" s="128"/>
      <c r="G230" s="128"/>
      <c r="H230" s="128"/>
      <c r="I230" s="128"/>
    </row>
    <row r="231" spans="1:9" x14ac:dyDescent="0.25">
      <c r="A231" s="122" t="s">
        <v>19</v>
      </c>
      <c r="B231" s="128">
        <f>1-(ABS(B201-B201)+ABS(C201-C201)+ABS(D201-D201)+ABS(E201-E201))/4</f>
        <v>1</v>
      </c>
      <c r="C231" s="128">
        <f>1-(ABS(B201-J201)+ABS(C201-K201)+ABS(D201-L201)+ABS(E201-M201))/4</f>
        <v>0.86912287633346497</v>
      </c>
      <c r="D231" s="128">
        <f>1-(ABS(B201-R201)+ABS(C201-S201)+ABS(D201-T201)+ABS(E201-U201))/4</f>
        <v>0.85238048202291583</v>
      </c>
      <c r="F231" s="122" t="s">
        <v>19</v>
      </c>
      <c r="G231" s="128">
        <f>1-(ABS(F201-F201)+ABS(G201-G201)+ABS(H201-H201)+ABS(I201-I201))/4</f>
        <v>1</v>
      </c>
      <c r="H231" s="128">
        <f>1-(ABS(F201-N201)+ABS(G201-O201)+ABS(H201-P201)+ABS(I201-Q201))/4</f>
        <v>0.86996246542868438</v>
      </c>
      <c r="I231" s="128">
        <f>1-(ABS(F201-V201)+ABS(G201-W201)+ABS(H201-X201)+ABS(I201-Y201))/4</f>
        <v>0.84683919399446861</v>
      </c>
    </row>
    <row r="232" spans="1:9" x14ac:dyDescent="0.25">
      <c r="B232" s="128">
        <f>1-(ABS(J201-B201)+ABS(K201-C201)+ABS(L201-D201)+ABS(M201-E201))/4</f>
        <v>0.86912287633346497</v>
      </c>
      <c r="C232" s="128">
        <f>1-(ABS(J201-J201)+ABS(K201-K201)+ABS(L201-L201)+ABS(M201-M201))/4</f>
        <v>1</v>
      </c>
      <c r="D232" s="128">
        <f>1-(ABS(J201-R201)+ABS(K201-S201)+ABS(L201-T201)+ABS(M201-U201))/4</f>
        <v>0.72150335835638091</v>
      </c>
      <c r="G232" s="128">
        <f>1-(ABS(N201-F201)+ABS(O201-G201)+ABS(P201-H201)+ABS(Q201-I201))/4</f>
        <v>0.86996246542868438</v>
      </c>
      <c r="H232" s="128">
        <f>1-(ABS(N201-N201)+ABS(O201-O201)+ABS(P201-P201)+ABS(Q201-Q201))/4</f>
        <v>1</v>
      </c>
      <c r="I232" s="128">
        <f>1-(ABS(N201-V201)+ABS(O201-W201)+ABS(P201-X201)+ABS(Q201-Y201))/4</f>
        <v>0.71680165942315299</v>
      </c>
    </row>
    <row r="233" spans="1:9" x14ac:dyDescent="0.25">
      <c r="B233" s="128">
        <f>1-(ABS(R201-B201)+ABS(S201-C201)+ABS(T201-D201)+ABS(U201-E201))/4</f>
        <v>0.85238048202291583</v>
      </c>
      <c r="C233" s="128">
        <f>1-(ABS(R201-J201)+ABS(S201-K201)+ABS(T201-L201)+ABS(U201-M201))/4</f>
        <v>0.72150335835638091</v>
      </c>
      <c r="D233" s="128">
        <f>1-(ABS(R201-R201)+ABS(S201-S201)+ABS(T201-T201)+ABS(U201-U201))/4</f>
        <v>1</v>
      </c>
      <c r="G233" s="128">
        <f>1-(ABS(V201-F201)+ABS(W201-G201)+ABS(X201-H201)+ABS(Y201-I201))/4</f>
        <v>0.84683919399446861</v>
      </c>
      <c r="H233" s="128">
        <f>1-(ABS(V201-N201)+ABS(W201-O201)+ABS(X201-P201)+ABS(Y201-Q201))/4</f>
        <v>0.71680165942315299</v>
      </c>
      <c r="I233" s="128">
        <f>1-(ABS(V201-V201)+ABS(W201-W201)+ABS(X201-X201)+ABS(Y201-Y201))/4</f>
        <v>1</v>
      </c>
    </row>
    <row r="234" spans="1:9" x14ac:dyDescent="0.25">
      <c r="B234" s="128"/>
      <c r="C234" s="128"/>
      <c r="D234" s="128"/>
      <c r="G234" s="128"/>
      <c r="H234" s="128"/>
      <c r="I234" s="128"/>
    </row>
    <row r="235" spans="1:9" x14ac:dyDescent="0.25">
      <c r="A235" s="122" t="s">
        <v>20</v>
      </c>
      <c r="B235" s="128">
        <f>1-(ABS(B202-B202)+ABS(C202-C202)+ABS(D202-D202)+ABS(E202-E202))/4</f>
        <v>1</v>
      </c>
      <c r="C235" s="128">
        <f>1-(ABS(B202-J202)+ABS(C202-K202)+ABS(D202-L202)+ABS(E202-M202))/4</f>
        <v>0.86912287633346497</v>
      </c>
      <c r="D235" s="128">
        <f>1-(ABS(B202-R202)+ABS(C202-S202)+ABS(D202-T202)+ABS(E202-U202))/4</f>
        <v>0.9162880284472541</v>
      </c>
      <c r="F235" s="122" t="s">
        <v>20</v>
      </c>
      <c r="G235" s="128">
        <f>1-(ABS(F202-F202)+ABS(G202-G202)+ABS(H202-H202)+ABS(I202-I202))/4</f>
        <v>1</v>
      </c>
      <c r="H235" s="128">
        <f>1-(ABS(F202-N202)+ABS(G202-O202)+ABS(H202-P202)+ABS(I202-Q202))/4</f>
        <v>0.86996246542868438</v>
      </c>
      <c r="I235" s="128">
        <f>1-(ABS(F202-V202)+ABS(G202-W202)+ABS(H202-X202)+ABS(I202-Y202))/4</f>
        <v>0.91149743184512055</v>
      </c>
    </row>
    <row r="236" spans="1:9" x14ac:dyDescent="0.25">
      <c r="B236" s="128">
        <f>1-(ABS(J202-B202)+ABS(K202-C202)+ABS(L202-D202)+ABS(M202-E202))/4</f>
        <v>0.86912287633346497</v>
      </c>
      <c r="C236" s="128">
        <f>1-(ABS(J202-J202)+ABS(K202-K202)+ABS(L202-L202)+ABS(M202-M202))/4</f>
        <v>1</v>
      </c>
      <c r="D236" s="128">
        <f>1-(ABS(J202-R202)+ABS(K202-S202)+ABS(L202-T202)+ABS(M202-U202))/4</f>
        <v>0.78541090478071918</v>
      </c>
      <c r="G236" s="128">
        <f>1-(ABS(N202-F202)+ABS(O202-G202)+ABS(P202-H202)+ABS(Q202-I202))/4</f>
        <v>0.86996246542868438</v>
      </c>
      <c r="H236" s="128">
        <f>1-(ABS(N202-N202)+ABS(O202-O202)+ABS(P202-P202)+ABS(Q202-Q202))/4</f>
        <v>1</v>
      </c>
      <c r="I236" s="128">
        <f>1-(ABS(N202-V202)+ABS(O202-W202)+ABS(P202-X202)+ABS(Q202-Y202))/4</f>
        <v>0.78145989727380494</v>
      </c>
    </row>
    <row r="237" spans="1:9" x14ac:dyDescent="0.25">
      <c r="B237" s="128">
        <f>1-(ABS(R202-B202)+ABS(S202-C202)+ABS(T202-D202)+ABS(U202-E202))/4</f>
        <v>0.9162880284472541</v>
      </c>
      <c r="C237" s="128">
        <f>1-(ABS(R202-J202)+ABS(S202-K202)+ABS(T202-L202)+ABS(U202-M202))/4</f>
        <v>0.78541090478071918</v>
      </c>
      <c r="D237" s="128">
        <f>1-(ABS(R202-R202)+ABS(S202-S202)+ABS(T202-T202)+ABS(U202-U202))/4</f>
        <v>1</v>
      </c>
      <c r="G237" s="128">
        <f>1-(ABS(V202-F202)+ABS(W202-G202)+ABS(X202-H202)+ABS(Y202-I202))/4</f>
        <v>0.91149743184512055</v>
      </c>
      <c r="H237" s="128">
        <f>1-(ABS(V202-N202)+ABS(W202-O202)+ABS(X202-P202)+ABS(Y202-Q202))/4</f>
        <v>0.78145989727380494</v>
      </c>
      <c r="I237" s="128">
        <f>1-(ABS(V202-V202)+ABS(W202-W202)+ABS(X202-X202)+ABS(Y202-Y202))/4</f>
        <v>1</v>
      </c>
    </row>
    <row r="238" spans="1:9" x14ac:dyDescent="0.25">
      <c r="B238" s="128"/>
      <c r="C238" s="128"/>
      <c r="D238" s="128"/>
      <c r="G238" s="128"/>
      <c r="H238" s="128"/>
      <c r="I238" s="128"/>
    </row>
    <row r="239" spans="1:9" x14ac:dyDescent="0.25">
      <c r="A239" s="122" t="s">
        <v>21</v>
      </c>
      <c r="B239" s="128">
        <f>1-(ABS(B203-B203)+ABS(C203-C203)+ABS(D203-D203)+ABS(E203-E203))/4</f>
        <v>1</v>
      </c>
      <c r="C239" s="128">
        <f>1-(ABS(B203-J203)+ABS(C203-K203)+ABS(D203-L203)+ABS(E203-M203))/4</f>
        <v>0.97451600158040297</v>
      </c>
      <c r="D239" s="128">
        <f>1-(ABS(B203-R203)+ABS(C203-S203)+ABS(D203-T203)+ABS(E203-U203))/4</f>
        <v>0.92819043856183325</v>
      </c>
      <c r="F239" s="122" t="s">
        <v>21</v>
      </c>
      <c r="G239" s="128">
        <f>1-(ABS(F203-F203)+ABS(G203-G203)+ABS(H203-H203)+ABS(I203-I203))/4</f>
        <v>1</v>
      </c>
      <c r="H239" s="128">
        <f>1-(ABS(F203-N203)+ABS(G203-O203)+ABS(H203-P203)+ABS(I203-Q203))/4</f>
        <v>0.97293559857763734</v>
      </c>
      <c r="I239" s="128">
        <f>1-(ABS(F203-V203)+ABS(G203-W203)+ABS(H203-X203)+ABS(I203-Y203))/4</f>
        <v>0.92898064006321612</v>
      </c>
    </row>
    <row r="240" spans="1:9" x14ac:dyDescent="0.25">
      <c r="B240" s="128">
        <f>1-(ABS(J203-B203)+ABS(K203-C203)+ABS(L203-D203)+ABS(M203-E203))/4</f>
        <v>0.97451600158040297</v>
      </c>
      <c r="C240" s="128">
        <f>1-(ABS(J203-J203)+ABS(K203-K203)+ABS(L203-L203)+ABS(M203-M203))/4</f>
        <v>1</v>
      </c>
      <c r="D240" s="128">
        <f>1-(ABS(J203-R203)+ABS(K203-S203)+ABS(L203-T203)+ABS(M203-U203))/4</f>
        <v>0.92690636112208613</v>
      </c>
      <c r="G240" s="128">
        <f>1-(ABS(N203-F203)+ABS(O203-G203)+ABS(P203-H203)+ABS(Q203-I203))/4</f>
        <v>0.97293559857763734</v>
      </c>
      <c r="H240" s="128">
        <f>1-(ABS(N203-N203)+ABS(O203-O203)+ABS(P203-P203)+ABS(Q203-Q203))/4</f>
        <v>1</v>
      </c>
      <c r="I240" s="128">
        <f>1-(ABS(N203-V203)+ABS(O203-W203)+ABS(P203-X203)+ABS(Q203-Y203))/4</f>
        <v>0.93391939944685898</v>
      </c>
    </row>
    <row r="241" spans="1:9" x14ac:dyDescent="0.25">
      <c r="B241" s="128">
        <f>1-(ABS(R203-B203)+ABS(S203-C203)+ABS(T203-D203)+ABS(U203-E203))/4</f>
        <v>0.92819043856183325</v>
      </c>
      <c r="C241" s="128">
        <f>1-(ABS(R203-J203)+ABS(S203-K203)+ABS(T203-L203)+ABS(U203-M203))/4</f>
        <v>0.92690636112208613</v>
      </c>
      <c r="D241" s="128">
        <f>1-(ABS(R203-R203)+ABS(S203-S203)+ABS(T203-T203)+ABS(U203-U203))/4</f>
        <v>1</v>
      </c>
      <c r="G241" s="128">
        <f>1-(ABS(V203-F203)+ABS(W203-G203)+ABS(X203-H203)+ABS(Y203-I203))/4</f>
        <v>0.92898064006321612</v>
      </c>
      <c r="H241" s="128">
        <f>1-(ABS(V203-N203)+ABS(W203-O203)+ABS(X203-P203)+ABS(Y203-Q203))/4</f>
        <v>0.93391939944685898</v>
      </c>
      <c r="I241" s="128">
        <f>1-(ABS(V203-V203)+ABS(W203-W203)+ABS(X203-X203)+ABS(Y203-Y203))/4</f>
        <v>1</v>
      </c>
    </row>
    <row r="242" spans="1:9" x14ac:dyDescent="0.25">
      <c r="B242" s="128"/>
      <c r="C242" s="128"/>
      <c r="D242" s="128"/>
      <c r="G242" s="128"/>
      <c r="H242" s="128"/>
      <c r="I242" s="128"/>
    </row>
    <row r="243" spans="1:9" x14ac:dyDescent="0.25">
      <c r="A243" s="122" t="s">
        <v>23</v>
      </c>
      <c r="B243" s="128">
        <f>1-(ABS(B204-B204)+ABS(C204-C204)+ABS(D204-D204)+ABS(E204-E204))/4</f>
        <v>1</v>
      </c>
      <c r="C243" s="128">
        <f>1-(ABS(B204-J204)+ABS(C204-K204)+ABS(D204-L204)+ABS(E204-M204))/4</f>
        <v>0.93530225207427897</v>
      </c>
      <c r="D243" s="128">
        <f>1-(ABS(B204-R204)+ABS(C204-S204)+ABS(D204-T204)+ABS(E204-U204))/4</f>
        <v>0.90887988937178976</v>
      </c>
      <c r="F243" s="122" t="s">
        <v>23</v>
      </c>
      <c r="G243" s="128">
        <f>1-(ABS(F204-F204)+ABS(G204-G204)+ABS(H204-H204)+ABS(I204-I204))/4</f>
        <v>1</v>
      </c>
      <c r="H243" s="128">
        <f>1-(ABS(F204-N204)+ABS(G204-O204)+ABS(H204-P204)+ABS(I204-Q204))/4</f>
        <v>0.92661003555906762</v>
      </c>
      <c r="I243" s="128">
        <f>1-(ABS(F204-V204)+ABS(G204-W204)+ABS(H204-X204)+ABS(I204-Y204))/4</f>
        <v>0.91569537732121686</v>
      </c>
    </row>
    <row r="244" spans="1:9" x14ac:dyDescent="0.25">
      <c r="B244" s="128">
        <f>1-(ABS(J204-B204)+ABS(K204-C204)+ABS(L204-D204)+ABS(M204-E204))/4</f>
        <v>0.93530225207427897</v>
      </c>
      <c r="C244" s="128">
        <f>1-(ABS(J204-J204)+ABS(K204-K204)+ABS(L204-L204)+ABS(M204-M204))/4</f>
        <v>1</v>
      </c>
      <c r="D244" s="128">
        <f>1-(ABS(J204-R204)+ABS(K204-S204)+ABS(L204-T204)+ABS(M204-U204))/4</f>
        <v>0.84418214144606885</v>
      </c>
      <c r="G244" s="128">
        <f>1-(ABS(N204-F204)+ABS(O204-G204)+ABS(P204-H204)+ABS(Q204-I204))/4</f>
        <v>0.92661003555906762</v>
      </c>
      <c r="H244" s="128">
        <f>1-(ABS(N204-N204)+ABS(O204-O204)+ABS(P204-P204)+ABS(Q204-Q204))/4</f>
        <v>1</v>
      </c>
      <c r="I244" s="128">
        <f>1-(ABS(N204-V204)+ABS(O204-W204)+ABS(P204-X204)+ABS(Q204-Y204))/4</f>
        <v>0.84230541288028449</v>
      </c>
    </row>
    <row r="245" spans="1:9" x14ac:dyDescent="0.25">
      <c r="B245" s="128">
        <f>1-(ABS(R204-B204)+ABS(S204-C204)+ABS(T204-D204)+ABS(U204-E204))/4</f>
        <v>0.90887988937178976</v>
      </c>
      <c r="C245" s="128">
        <f>1-(ABS(R204-J204)+ABS(S204-K204)+ABS(T204-L204)+ABS(U204-M204))/4</f>
        <v>0.84418214144606885</v>
      </c>
      <c r="D245" s="128">
        <f>1-(ABS(R207-R207)+ABS(S207-S207)+ABS(T207-T207)+ABS(U207-U207))/4</f>
        <v>1</v>
      </c>
      <c r="G245" s="128">
        <f>1-(ABS(V204-F204)+ABS(W204-G204)+ABS(X204-H204)+ABS(Y204-I204))/4</f>
        <v>0.91569537732121686</v>
      </c>
      <c r="H245" s="128">
        <f>1-(ABS(V204-N204)+ABS(W204-O204)+ABS(X204-P204)+ABS(Y204-Q204))/4</f>
        <v>0.84230541288028449</v>
      </c>
      <c r="I245" s="128">
        <f>1-(ABS(V207-V207)+ABS(W207-W207)+ABS(X207-X207)+ABS(Y207-Y207))/4</f>
        <v>1</v>
      </c>
    </row>
    <row r="246" spans="1:9" x14ac:dyDescent="0.25">
      <c r="B246" s="128"/>
      <c r="C246" s="128"/>
      <c r="D246" s="128"/>
      <c r="G246" s="128"/>
      <c r="H246" s="128"/>
      <c r="I246" s="128"/>
    </row>
    <row r="247" spans="1:9" x14ac:dyDescent="0.25">
      <c r="A247" s="122" t="s">
        <v>24</v>
      </c>
      <c r="B247" s="128">
        <f>1-(ABS(B205-B205)+ABS(C205-C205)+ABS(D205-D205)+ABS(E205-E205))/4</f>
        <v>1</v>
      </c>
      <c r="C247" s="128">
        <f>1-(ABS(B205-J205)+ABS(C205-K205)+ABS(D205-L205)+ABS(E205-M205))/4</f>
        <v>0.82368629000395099</v>
      </c>
      <c r="D247" s="128">
        <f>1-(ABS(B205-R205)+ABS(C205-S205)+ABS(D205-T205)+ABS(E205-U205))/4</f>
        <v>0.90838601343342551</v>
      </c>
      <c r="F247" s="122" t="s">
        <v>24</v>
      </c>
      <c r="G247" s="128">
        <f>1-(ABS(F205-F205)+ABS(G205-G205)+ABS(H205-H205)+ABS(I205-I205))/4</f>
        <v>1</v>
      </c>
      <c r="H247" s="128">
        <f>1-(ABS(F205-N205)+ABS(G205-O205)+ABS(H205-P205)+ABS(I205-Q205))/4</f>
        <v>0.81775977874357964</v>
      </c>
      <c r="I247" s="128">
        <f>1-(ABS(F205-V205)+ABS(G205-W205)+ABS(H205-X205)+ABS(I205-Y205))/4</f>
        <v>0.90513630975898862</v>
      </c>
    </row>
    <row r="248" spans="1:9" x14ac:dyDescent="0.25">
      <c r="B248" s="128">
        <f>1-(ABS(J205-B205)+ABS(K205-C205)+ABS(L205-D205)+ABS(M205-E205))/4</f>
        <v>0.82368629000395099</v>
      </c>
      <c r="C248" s="128">
        <f>1-(ABS(J205-J205)+ABS(K205-K205)+ABS(L205-L205)+ABS(M205-M205))/4</f>
        <v>1</v>
      </c>
      <c r="D248" s="128">
        <f>1-(ABS(J205-R205)+ABS(K205-S205)+ABS(L205-T205)+ABS(M205-U205))/4</f>
        <v>0.91530027657052548</v>
      </c>
      <c r="G248" s="128">
        <f>1-(ABS(N205-F205)+ABS(O205-G205)+ABS(P205-H205)+ABS(Q205-I205))/4</f>
        <v>0.81775977874357964</v>
      </c>
      <c r="H248" s="128">
        <f>1-(ABS(N205-N205)+ABS(O205-O205)+ABS(P205-P205)+ABS(Q205-Q205))/4</f>
        <v>1</v>
      </c>
      <c r="I248" s="128">
        <f>1-(ABS(N205-V205)+ABS(O205-W205)+ABS(P205-X205)+ABS(Q205-Y205))/4</f>
        <v>0.91262346898459101</v>
      </c>
    </row>
    <row r="249" spans="1:9" x14ac:dyDescent="0.25">
      <c r="B249" s="128">
        <f>1-(ABS(R205-B205)+ABS(S205-C205)+ABS(T205-D205)+ABS(U205-E205))/4</f>
        <v>0.90838601343342551</v>
      </c>
      <c r="C249" s="128">
        <f>1-(ABS(R205-J205)+ABS(S205-K205)+ABS(T205-L205)+ABS(U205-M205))/4</f>
        <v>0.91530027657052548</v>
      </c>
      <c r="D249" s="128">
        <f>1-(ABS(R205-R205)+ABS(S205-S205)+ABS(T205-T205)+ABS(U205-U205))/4</f>
        <v>1</v>
      </c>
      <c r="G249" s="128">
        <f>1-(ABS(V205-F205)+ABS(W205-G205)+ABS(X205-H205)+ABS(Y205-I205))/4</f>
        <v>0.90513630975898862</v>
      </c>
      <c r="H249" s="128">
        <f>1-(ABS(V205-N205)+ABS(W205-O205)+ABS(X205-P205)+ABS(Y205-Q205))/4</f>
        <v>0.91262346898459101</v>
      </c>
      <c r="I249" s="128">
        <f>1-(ABS(V205-V205)+ABS(W205-W205)+ABS(X205-X205)+ABS(Y205-Y205))/4</f>
        <v>1</v>
      </c>
    </row>
    <row r="251" spans="1:9" x14ac:dyDescent="0.25">
      <c r="A251" s="250" t="s">
        <v>158</v>
      </c>
      <c r="B251" s="248"/>
      <c r="C251" s="248"/>
      <c r="D251" s="248"/>
      <c r="E251" s="248"/>
      <c r="F251" s="248"/>
      <c r="G251" s="248"/>
      <c r="H251" s="248"/>
      <c r="I251" s="248"/>
    </row>
    <row r="252" spans="1:9" x14ac:dyDescent="0.25">
      <c r="A252" s="251" t="s">
        <v>175</v>
      </c>
      <c r="B252" s="248"/>
      <c r="C252" s="248"/>
      <c r="D252" s="248"/>
      <c r="F252" s="251" t="s">
        <v>176</v>
      </c>
      <c r="G252" s="248"/>
      <c r="H252" s="248"/>
      <c r="I252" s="248"/>
    </row>
    <row r="253" spans="1:9" s="132" customFormat="1" ht="30" x14ac:dyDescent="0.25">
      <c r="A253" s="133" t="s">
        <v>113</v>
      </c>
      <c r="B253" s="133" t="s">
        <v>107</v>
      </c>
      <c r="C253" s="133" t="s">
        <v>108</v>
      </c>
      <c r="D253" s="133" t="s">
        <v>134</v>
      </c>
      <c r="F253" s="133" t="s">
        <v>113</v>
      </c>
      <c r="G253" s="133" t="s">
        <v>107</v>
      </c>
      <c r="H253" s="133" t="s">
        <v>108</v>
      </c>
      <c r="I253" s="133" t="s">
        <v>134</v>
      </c>
    </row>
    <row r="254" spans="1:9" x14ac:dyDescent="0.25">
      <c r="A254" s="2" t="s">
        <v>25</v>
      </c>
      <c r="B254" s="2">
        <f>(C211+D211)/2</f>
        <v>0.92747431845120509</v>
      </c>
      <c r="C254" s="2">
        <f>(B212+D212)/2</f>
        <v>0.94387099960489929</v>
      </c>
      <c r="D254" s="2">
        <f>(B213+C213)/2</f>
        <v>0.93199328328723818</v>
      </c>
      <c r="F254" s="2" t="s">
        <v>25</v>
      </c>
      <c r="G254" s="2">
        <f>(H211+I211)/2</f>
        <v>0.92485183721849074</v>
      </c>
      <c r="H254" s="2">
        <f>(G212+I212)/2</f>
        <v>0.94572797313314894</v>
      </c>
      <c r="I254" s="2">
        <f>(G213+H213)/2</f>
        <v>0.9316722639273014</v>
      </c>
    </row>
    <row r="255" spans="1:9" x14ac:dyDescent="0.25">
      <c r="A255" s="2" t="s">
        <v>14</v>
      </c>
      <c r="B255" s="2">
        <f>(C215+D215)/2</f>
        <v>0.95369913077834845</v>
      </c>
      <c r="C255" s="2">
        <f>(B216+D216)/2</f>
        <v>0.92381963650730925</v>
      </c>
      <c r="D255" s="2">
        <f>(B217+C217)/2</f>
        <v>0.93727775582773609</v>
      </c>
      <c r="F255" s="2" t="s">
        <v>14</v>
      </c>
      <c r="G255" s="2">
        <f>(H215+I215)/2</f>
        <v>0.9531311734492296</v>
      </c>
      <c r="H255" s="2">
        <f>(G216+I216)/2</f>
        <v>0.923271434215725</v>
      </c>
      <c r="I255" s="2">
        <f>(G217+H217)/2</f>
        <v>0.93612208613196368</v>
      </c>
    </row>
    <row r="256" spans="1:9" x14ac:dyDescent="0.25">
      <c r="A256" s="2" t="s">
        <v>15</v>
      </c>
      <c r="B256" s="2">
        <f>(C219+D219)/2</f>
        <v>0.87818549980244964</v>
      </c>
      <c r="C256" s="2">
        <f>(B220+D220)/2</f>
        <v>0.82222935598577629</v>
      </c>
      <c r="D256" s="2">
        <f>(B221+C221)/2</f>
        <v>0.90013828526274198</v>
      </c>
      <c r="F256" s="2" t="s">
        <v>15</v>
      </c>
      <c r="G256" s="2">
        <f>(H219+I219)/2</f>
        <v>0.8704810351639668</v>
      </c>
      <c r="H256" s="2">
        <f>(G220+I220)/2</f>
        <v>0.81696957724219676</v>
      </c>
      <c r="I256" s="2">
        <f>(G221+H221)/2</f>
        <v>0.89581687080205452</v>
      </c>
    </row>
    <row r="257" spans="1:9" x14ac:dyDescent="0.25">
      <c r="A257" s="2" t="s">
        <v>16</v>
      </c>
      <c r="B257" s="2">
        <f>(C223+D223)/2</f>
        <v>0.89270545239035948</v>
      </c>
      <c r="C257" s="2">
        <f>(B224+D224)/2</f>
        <v>0.86393717898064004</v>
      </c>
      <c r="D257" s="2">
        <f>(B225+C225)/2</f>
        <v>0.81417917819043861</v>
      </c>
      <c r="F257" s="2" t="s">
        <v>16</v>
      </c>
      <c r="G257" s="2">
        <f>(H223+I223)/2</f>
        <v>0.89072994863690247</v>
      </c>
      <c r="H257" s="2">
        <f>(G224+I224)/2</f>
        <v>0.8619863690241012</v>
      </c>
      <c r="I257" s="2">
        <f>(G225+H225)/2</f>
        <v>0.81020347688660621</v>
      </c>
    </row>
    <row r="258" spans="1:9" x14ac:dyDescent="0.25">
      <c r="A258" s="2" t="s">
        <v>18</v>
      </c>
      <c r="B258" s="2">
        <f>(C227+D227)/2</f>
        <v>0.86628308968787038</v>
      </c>
      <c r="C258" s="2">
        <f>(B228+D228)/2</f>
        <v>0.77812623468984587</v>
      </c>
      <c r="D258" s="2">
        <f>(B229+C229)/2</f>
        <v>0.82072303437376526</v>
      </c>
      <c r="F258" s="2" t="s">
        <v>18</v>
      </c>
      <c r="G258" s="2">
        <f>(H227+I227)/2</f>
        <v>0.86672757803239819</v>
      </c>
      <c r="H258" s="2">
        <f>(G228+I228)/2</f>
        <v>0.77560746740418818</v>
      </c>
      <c r="I258" s="2">
        <f>(G229+H229)/2</f>
        <v>0.82457526669300674</v>
      </c>
    </row>
    <row r="259" spans="1:9" x14ac:dyDescent="0.25">
      <c r="A259" s="2" t="s">
        <v>19</v>
      </c>
      <c r="B259" s="2">
        <f>(C231+D231)/2</f>
        <v>0.8607516791781904</v>
      </c>
      <c r="C259" s="2">
        <f>(B232+D232)/2</f>
        <v>0.79531311734492294</v>
      </c>
      <c r="D259" s="2">
        <f>(B233+C233)/2</f>
        <v>0.78694192018964837</v>
      </c>
      <c r="F259" s="2" t="s">
        <v>19</v>
      </c>
      <c r="G259" s="2">
        <f>(H231+I231)/2</f>
        <v>0.8584008297115765</v>
      </c>
      <c r="H259" s="2">
        <f>(G232+I232)/2</f>
        <v>0.79338206242591869</v>
      </c>
      <c r="I259" s="2">
        <f>(G233+H233)/2</f>
        <v>0.7818204267088108</v>
      </c>
    </row>
    <row r="260" spans="1:9" x14ac:dyDescent="0.25">
      <c r="A260" s="2" t="s">
        <v>20</v>
      </c>
      <c r="B260" s="2">
        <f>(C235+D235)/2</f>
        <v>0.89270545239035948</v>
      </c>
      <c r="C260" s="2">
        <f>(B236+D236)/2</f>
        <v>0.82726689055709213</v>
      </c>
      <c r="D260" s="2">
        <f>(B237+C237)/2</f>
        <v>0.85084946661398664</v>
      </c>
      <c r="F260" s="2" t="s">
        <v>20</v>
      </c>
      <c r="G260" s="2">
        <f>(H235+I235)/2</f>
        <v>0.89072994863690247</v>
      </c>
      <c r="H260" s="2">
        <f>(G236+I236)/2</f>
        <v>0.82571118135124466</v>
      </c>
      <c r="I260" s="2">
        <f>(G237+H237)/2</f>
        <v>0.84647866455946275</v>
      </c>
    </row>
    <row r="261" spans="1:9" x14ac:dyDescent="0.25">
      <c r="A261" s="2" t="s">
        <v>21</v>
      </c>
      <c r="B261" s="2">
        <f>(C239+D239)/2</f>
        <v>0.95135322007111811</v>
      </c>
      <c r="C261" s="2">
        <f>(B240+D240)/2</f>
        <v>0.95071118135124455</v>
      </c>
      <c r="D261" s="2">
        <f>(B241+C241)/2</f>
        <v>0.92754839984195969</v>
      </c>
      <c r="F261" s="2" t="s">
        <v>21</v>
      </c>
      <c r="G261" s="2">
        <f>(H239+I239)/2</f>
        <v>0.95095811932042673</v>
      </c>
      <c r="H261" s="2">
        <f>(G240+I240)/2</f>
        <v>0.95342749901224821</v>
      </c>
      <c r="I261" s="2">
        <f>(G241+H241)/2</f>
        <v>0.93145001975503749</v>
      </c>
    </row>
    <row r="262" spans="1:9" x14ac:dyDescent="0.25">
      <c r="A262" s="2" t="s">
        <v>23</v>
      </c>
      <c r="B262" s="2">
        <f>(C243+D243)/2</f>
        <v>0.92209107072303431</v>
      </c>
      <c r="C262" s="2">
        <f>(B244+D244)/2</f>
        <v>0.88974219676017396</v>
      </c>
      <c r="D262" s="2">
        <f>(B245+C245)/2</f>
        <v>0.8765310154089293</v>
      </c>
      <c r="F262" s="2" t="s">
        <v>23</v>
      </c>
      <c r="G262" s="2">
        <f>(H243+I243)/2</f>
        <v>0.92115270644014224</v>
      </c>
      <c r="H262" s="2">
        <f>(G244+I244)/2</f>
        <v>0.88445772421967606</v>
      </c>
      <c r="I262" s="2">
        <f>(G245+H245)/2</f>
        <v>0.87900039510075068</v>
      </c>
    </row>
    <row r="263" spans="1:9" x14ac:dyDescent="0.25">
      <c r="A263" s="2" t="s">
        <v>24</v>
      </c>
      <c r="B263" s="2">
        <f>(C247+D247)/2</f>
        <v>0.86603615171868831</v>
      </c>
      <c r="C263" s="2">
        <f>(B248+D248)/2</f>
        <v>0.86949328328723818</v>
      </c>
      <c r="D263" s="2">
        <f>(B249+C249)/2</f>
        <v>0.9118431450019755</v>
      </c>
      <c r="F263" s="2" t="s">
        <v>24</v>
      </c>
      <c r="G263" s="2">
        <f>(H247+I247)/2</f>
        <v>0.86144804425128418</v>
      </c>
      <c r="H263" s="2">
        <f>(G248+I248)/2</f>
        <v>0.86519162386408532</v>
      </c>
      <c r="I263" s="2">
        <f>(G249+H249)/2</f>
        <v>0.90887988937178976</v>
      </c>
    </row>
    <row r="265" spans="1:9" x14ac:dyDescent="0.25">
      <c r="A265" s="1" t="s">
        <v>224</v>
      </c>
    </row>
    <row r="266" spans="1:9" x14ac:dyDescent="0.25">
      <c r="A266" s="133" t="s">
        <v>113</v>
      </c>
      <c r="B266" s="133" t="s">
        <v>107</v>
      </c>
      <c r="C266" s="133" t="s">
        <v>108</v>
      </c>
      <c r="D266" s="133" t="s">
        <v>134</v>
      </c>
    </row>
    <row r="267" spans="1:9" x14ac:dyDescent="0.25">
      <c r="A267" s="2" t="s">
        <v>25</v>
      </c>
      <c r="B267" s="2">
        <f>(B254+G254)/2</f>
        <v>0.92616307783484797</v>
      </c>
      <c r="C267" s="2">
        <f t="shared" ref="C267:D276" si="134">(C254+H254)/2</f>
        <v>0.94479948636902411</v>
      </c>
      <c r="D267" s="2">
        <f t="shared" si="134"/>
        <v>0.93183277360726979</v>
      </c>
    </row>
    <row r="268" spans="1:9" x14ac:dyDescent="0.25">
      <c r="A268" s="2" t="s">
        <v>14</v>
      </c>
      <c r="B268" s="2">
        <f t="shared" ref="B268:B276" si="135">(B255+G255)/2</f>
        <v>0.95341515211378902</v>
      </c>
      <c r="C268" s="2">
        <f t="shared" si="134"/>
        <v>0.92354553536151718</v>
      </c>
      <c r="D268" s="2">
        <f t="shared" si="134"/>
        <v>0.93669992097984989</v>
      </c>
    </row>
    <row r="269" spans="1:9" x14ac:dyDescent="0.25">
      <c r="A269" s="2" t="s">
        <v>15</v>
      </c>
      <c r="B269" s="2">
        <f t="shared" si="135"/>
        <v>0.87433326748320828</v>
      </c>
      <c r="C269" s="2">
        <f t="shared" si="134"/>
        <v>0.81959946661398653</v>
      </c>
      <c r="D269" s="2">
        <f t="shared" si="134"/>
        <v>0.89797757803239819</v>
      </c>
    </row>
    <row r="270" spans="1:9" x14ac:dyDescent="0.25">
      <c r="A270" s="2" t="s">
        <v>16</v>
      </c>
      <c r="B270" s="2">
        <f t="shared" si="135"/>
        <v>0.89171770051363097</v>
      </c>
      <c r="C270" s="2">
        <f t="shared" si="134"/>
        <v>0.86296177400237062</v>
      </c>
      <c r="D270" s="2">
        <f t="shared" si="134"/>
        <v>0.81219132753852241</v>
      </c>
    </row>
    <row r="271" spans="1:9" x14ac:dyDescent="0.25">
      <c r="A271" s="2" t="s">
        <v>18</v>
      </c>
      <c r="B271" s="2">
        <f t="shared" si="135"/>
        <v>0.86650533386013429</v>
      </c>
      <c r="C271" s="2">
        <f t="shared" si="134"/>
        <v>0.77686685104701703</v>
      </c>
      <c r="D271" s="2">
        <f t="shared" si="134"/>
        <v>0.82264915053338594</v>
      </c>
    </row>
    <row r="272" spans="1:9" x14ac:dyDescent="0.25">
      <c r="A272" s="2" t="s">
        <v>19</v>
      </c>
      <c r="B272" s="2">
        <f t="shared" si="135"/>
        <v>0.8595762544448835</v>
      </c>
      <c r="C272" s="2">
        <f t="shared" si="134"/>
        <v>0.79434758988542087</v>
      </c>
      <c r="D272" s="2">
        <f t="shared" si="134"/>
        <v>0.78438117344922964</v>
      </c>
    </row>
    <row r="273" spans="1:5" x14ac:dyDescent="0.25">
      <c r="A273" s="2" t="s">
        <v>20</v>
      </c>
      <c r="B273" s="2">
        <f t="shared" si="135"/>
        <v>0.89171770051363097</v>
      </c>
      <c r="C273" s="2">
        <f t="shared" si="134"/>
        <v>0.82648903595416834</v>
      </c>
      <c r="D273" s="2">
        <f t="shared" si="134"/>
        <v>0.84866406558672469</v>
      </c>
    </row>
    <row r="274" spans="1:5" x14ac:dyDescent="0.25">
      <c r="A274" s="2" t="s">
        <v>21</v>
      </c>
      <c r="B274" s="2">
        <f t="shared" si="135"/>
        <v>0.95115566969577237</v>
      </c>
      <c r="C274" s="2">
        <f t="shared" si="134"/>
        <v>0.95206934018174638</v>
      </c>
      <c r="D274" s="2">
        <f t="shared" si="134"/>
        <v>0.92949920979849865</v>
      </c>
    </row>
    <row r="275" spans="1:5" x14ac:dyDescent="0.25">
      <c r="A275" s="2" t="s">
        <v>23</v>
      </c>
      <c r="B275" s="2">
        <f t="shared" si="135"/>
        <v>0.92162188858158833</v>
      </c>
      <c r="C275" s="2">
        <f t="shared" si="134"/>
        <v>0.88709996048992501</v>
      </c>
      <c r="D275" s="2">
        <f t="shared" si="134"/>
        <v>0.87776570525483999</v>
      </c>
    </row>
    <row r="276" spans="1:5" x14ac:dyDescent="0.25">
      <c r="A276" s="2" t="s">
        <v>24</v>
      </c>
      <c r="B276" s="2">
        <f t="shared" si="135"/>
        <v>0.86374209798498625</v>
      </c>
      <c r="C276" s="2">
        <f t="shared" si="134"/>
        <v>0.86734245357566175</v>
      </c>
      <c r="D276" s="2">
        <f t="shared" si="134"/>
        <v>0.91036151718688263</v>
      </c>
    </row>
    <row r="278" spans="1:5" x14ac:dyDescent="0.25">
      <c r="A278" s="166" t="s">
        <v>177</v>
      </c>
      <c r="B278" s="164"/>
      <c r="C278" s="164"/>
      <c r="D278" s="164"/>
      <c r="E278" s="164"/>
    </row>
    <row r="279" spans="1:5" x14ac:dyDescent="0.25">
      <c r="A279" s="86" t="s">
        <v>113</v>
      </c>
      <c r="B279" s="3" t="s">
        <v>107</v>
      </c>
      <c r="C279" s="3" t="s">
        <v>108</v>
      </c>
      <c r="D279" s="3" t="s">
        <v>134</v>
      </c>
      <c r="E279" s="126" t="s">
        <v>159</v>
      </c>
    </row>
    <row r="280" spans="1:5" x14ac:dyDescent="0.25">
      <c r="A280" s="41" t="s">
        <v>25</v>
      </c>
      <c r="B280" s="123">
        <f>B267/SUM($B267:$D267)</f>
        <v>0.33044263537206398</v>
      </c>
      <c r="C280" s="123">
        <f t="shared" ref="C280:D280" si="136">C267/SUM($B267:$D267)</f>
        <v>0.33709185741220421</v>
      </c>
      <c r="D280" s="123">
        <f t="shared" si="136"/>
        <v>0.33246550721573187</v>
      </c>
      <c r="E280" s="125">
        <f>SUM(B280:D280)</f>
        <v>1</v>
      </c>
    </row>
    <row r="281" spans="1:5" x14ac:dyDescent="0.25">
      <c r="A281" s="41" t="s">
        <v>14</v>
      </c>
      <c r="B281" s="123">
        <f t="shared" ref="B281:D281" si="137">B268/SUM($B268:$D268)</f>
        <v>0.3388522230608555</v>
      </c>
      <c r="C281" s="123">
        <f t="shared" si="137"/>
        <v>0.32823629565919504</v>
      </c>
      <c r="D281" s="123">
        <f t="shared" si="137"/>
        <v>0.33291148127994946</v>
      </c>
      <c r="E281" s="125">
        <f t="shared" ref="E281:E289" si="138">SUM(B281:D281)</f>
        <v>1</v>
      </c>
    </row>
    <row r="282" spans="1:5" x14ac:dyDescent="0.25">
      <c r="A282" s="41" t="s">
        <v>15</v>
      </c>
      <c r="B282" s="123">
        <f t="shared" ref="B282:D282" si="139">B269/SUM($B269:$D269)</f>
        <v>0.33733160572397636</v>
      </c>
      <c r="C282" s="123">
        <f t="shared" si="139"/>
        <v>0.31621443951144224</v>
      </c>
      <c r="D282" s="123">
        <f t="shared" si="139"/>
        <v>0.34645395476458146</v>
      </c>
      <c r="E282" s="125">
        <f t="shared" si="138"/>
        <v>1</v>
      </c>
    </row>
    <row r="283" spans="1:5" x14ac:dyDescent="0.25">
      <c r="A283" s="41" t="s">
        <v>16</v>
      </c>
      <c r="B283" s="123">
        <f t="shared" ref="B283:D283" si="140">B270/SUM($B270:$D270)</f>
        <v>0.34739485127178976</v>
      </c>
      <c r="C283" s="123">
        <f t="shared" si="140"/>
        <v>0.33619213452880287</v>
      </c>
      <c r="D283" s="123">
        <f t="shared" si="140"/>
        <v>0.31641301419940743</v>
      </c>
      <c r="E283" s="125">
        <f t="shared" si="138"/>
        <v>1</v>
      </c>
    </row>
    <row r="284" spans="1:5" x14ac:dyDescent="0.25">
      <c r="A284" s="41" t="s">
        <v>18</v>
      </c>
      <c r="B284" s="123">
        <f t="shared" ref="B284:D284" si="141">B271/SUM($B271:$D271)</f>
        <v>0.3513778739085156</v>
      </c>
      <c r="C284" s="123">
        <f t="shared" si="141"/>
        <v>0.31502843867660024</v>
      </c>
      <c r="D284" s="123">
        <f t="shared" si="141"/>
        <v>0.33359368741488427</v>
      </c>
      <c r="E284" s="125">
        <f t="shared" si="138"/>
        <v>1</v>
      </c>
    </row>
    <row r="285" spans="1:5" x14ac:dyDescent="0.25">
      <c r="A285" s="41" t="s">
        <v>19</v>
      </c>
      <c r="B285" s="123">
        <f t="shared" ref="B285:D285" si="142">B272/SUM($B272:$D272)</f>
        <v>0.35253024054704402</v>
      </c>
      <c r="C285" s="123">
        <f t="shared" si="142"/>
        <v>0.32577859787566743</v>
      </c>
      <c r="D285" s="123">
        <f t="shared" si="142"/>
        <v>0.32169116157728861</v>
      </c>
      <c r="E285" s="125">
        <f t="shared" si="138"/>
        <v>1</v>
      </c>
    </row>
    <row r="286" spans="1:5" x14ac:dyDescent="0.25">
      <c r="A286" s="41" t="s">
        <v>20</v>
      </c>
      <c r="B286" s="123">
        <f t="shared" ref="B286:D286" si="143">B273/SUM($B273:$D273)</f>
        <v>0.34739485127178976</v>
      </c>
      <c r="C286" s="123">
        <f t="shared" si="143"/>
        <v>0.32198310693808446</v>
      </c>
      <c r="D286" s="123">
        <f t="shared" si="143"/>
        <v>0.33062204179012589</v>
      </c>
      <c r="E286" s="125">
        <f t="shared" si="138"/>
        <v>1</v>
      </c>
    </row>
    <row r="287" spans="1:5" x14ac:dyDescent="0.25">
      <c r="A287" s="41" t="s">
        <v>21</v>
      </c>
      <c r="B287" s="123">
        <f t="shared" ref="B287:D287" si="144">B274/SUM($B274:$D274)</f>
        <v>0.3357741862370765</v>
      </c>
      <c r="C287" s="123">
        <f t="shared" si="144"/>
        <v>0.33609672751364261</v>
      </c>
      <c r="D287" s="123">
        <f t="shared" si="144"/>
        <v>0.32812908624928078</v>
      </c>
      <c r="E287" s="125">
        <f t="shared" si="138"/>
        <v>0.99999999999999978</v>
      </c>
    </row>
    <row r="288" spans="1:5" x14ac:dyDescent="0.25">
      <c r="A288" s="41" t="s">
        <v>23</v>
      </c>
      <c r="B288" s="123">
        <f t="shared" ref="B288:D288" si="145">B275/SUM($B275:$D275)</f>
        <v>0.34305831311125817</v>
      </c>
      <c r="C288" s="123">
        <f t="shared" si="145"/>
        <v>0.33020810353702479</v>
      </c>
      <c r="D288" s="123">
        <f t="shared" si="145"/>
        <v>0.32673358335171704</v>
      </c>
      <c r="E288" s="125">
        <f t="shared" si="138"/>
        <v>1</v>
      </c>
    </row>
    <row r="289" spans="1:5" x14ac:dyDescent="0.25">
      <c r="A289" s="41" t="s">
        <v>24</v>
      </c>
      <c r="B289" s="123">
        <f t="shared" ref="B289:D289" si="146">B276/SUM($B276:$D276)</f>
        <v>0.32699592401465866</v>
      </c>
      <c r="C289" s="123">
        <f t="shared" si="146"/>
        <v>0.32835894847057062</v>
      </c>
      <c r="D289" s="123">
        <f t="shared" si="146"/>
        <v>0.34464512751477078</v>
      </c>
      <c r="E289" s="125">
        <f t="shared" si="138"/>
        <v>1</v>
      </c>
    </row>
    <row r="290" spans="1:5" x14ac:dyDescent="0.25">
      <c r="A290" s="122"/>
    </row>
    <row r="291" spans="1:5" x14ac:dyDescent="0.25">
      <c r="A291" s="166" t="s">
        <v>189</v>
      </c>
      <c r="B291" s="164"/>
      <c r="C291" s="164"/>
      <c r="D291" s="164"/>
      <c r="E291" s="164"/>
    </row>
    <row r="292" spans="1:5" x14ac:dyDescent="0.25">
      <c r="A292" s="86" t="s">
        <v>113</v>
      </c>
      <c r="B292" s="3" t="s">
        <v>107</v>
      </c>
      <c r="C292" s="3" t="s">
        <v>108</v>
      </c>
      <c r="D292" s="3" t="s">
        <v>134</v>
      </c>
      <c r="E292" s="126" t="s">
        <v>159</v>
      </c>
    </row>
    <row r="293" spans="1:5" x14ac:dyDescent="0.25">
      <c r="A293" s="41" t="s">
        <v>25</v>
      </c>
      <c r="B293" s="123">
        <f t="shared" ref="B293:B302" si="147">$C$188*$C$181+$C$189*B280</f>
        <v>0.31217705414882557</v>
      </c>
      <c r="C293" s="123">
        <f t="shared" ref="C293:C302" si="148">$C$188*$C$182+$C$189*C280</f>
        <v>0.31483674296488168</v>
      </c>
      <c r="D293" s="123">
        <f t="shared" ref="D293:D302" si="149">$C$188*$C$183+$C$189*D280</f>
        <v>0.37298620288629269</v>
      </c>
      <c r="E293" s="125">
        <f>SUM(B293:D293)</f>
        <v>1</v>
      </c>
    </row>
    <row r="294" spans="1:5" x14ac:dyDescent="0.25">
      <c r="A294" s="41" t="s">
        <v>14</v>
      </c>
      <c r="B294" s="123">
        <f t="shared" si="147"/>
        <v>0.3155408892243422</v>
      </c>
      <c r="C294" s="123">
        <f t="shared" si="148"/>
        <v>0.31129451826367799</v>
      </c>
      <c r="D294" s="123">
        <f t="shared" si="149"/>
        <v>0.37316459251197975</v>
      </c>
      <c r="E294" s="125">
        <f t="shared" ref="E294:E302" si="150">SUM(B294:D294)</f>
        <v>1</v>
      </c>
    </row>
    <row r="295" spans="1:5" x14ac:dyDescent="0.25">
      <c r="A295" s="41" t="s">
        <v>15</v>
      </c>
      <c r="B295" s="123">
        <f t="shared" si="147"/>
        <v>0.3149326422895905</v>
      </c>
      <c r="C295" s="123">
        <f t="shared" si="148"/>
        <v>0.30648577580457687</v>
      </c>
      <c r="D295" s="123">
        <f t="shared" si="149"/>
        <v>0.37858158190583258</v>
      </c>
      <c r="E295" s="125">
        <f t="shared" si="150"/>
        <v>0.99999999999999989</v>
      </c>
    </row>
    <row r="296" spans="1:5" x14ac:dyDescent="0.25">
      <c r="A296" s="41" t="s">
        <v>16</v>
      </c>
      <c r="B296" s="123">
        <f t="shared" si="147"/>
        <v>0.3189579405087159</v>
      </c>
      <c r="C296" s="123">
        <f t="shared" si="148"/>
        <v>0.31447685381152113</v>
      </c>
      <c r="D296" s="123">
        <f t="shared" si="149"/>
        <v>0.36656520567976292</v>
      </c>
      <c r="E296" s="125">
        <f t="shared" si="150"/>
        <v>0.99999999999999989</v>
      </c>
    </row>
    <row r="297" spans="1:5" x14ac:dyDescent="0.25">
      <c r="A297" s="41" t="s">
        <v>18</v>
      </c>
      <c r="B297" s="123">
        <f t="shared" si="147"/>
        <v>0.32055114956340625</v>
      </c>
      <c r="C297" s="123">
        <f t="shared" si="148"/>
        <v>0.30601137547064006</v>
      </c>
      <c r="D297" s="123">
        <f t="shared" si="149"/>
        <v>0.3734374749659537</v>
      </c>
      <c r="E297" s="125">
        <f t="shared" si="150"/>
        <v>1</v>
      </c>
    </row>
    <row r="298" spans="1:5" x14ac:dyDescent="0.25">
      <c r="A298" s="41" t="s">
        <v>19</v>
      </c>
      <c r="B298" s="123">
        <f t="shared" si="147"/>
        <v>0.3210120962188176</v>
      </c>
      <c r="C298" s="123">
        <f t="shared" si="148"/>
        <v>0.31031143915026693</v>
      </c>
      <c r="D298" s="123">
        <f t="shared" si="149"/>
        <v>0.36867646463091541</v>
      </c>
      <c r="E298" s="125">
        <f t="shared" si="150"/>
        <v>0.99999999999999989</v>
      </c>
    </row>
    <row r="299" spans="1:5" x14ac:dyDescent="0.25">
      <c r="A299" s="41" t="s">
        <v>20</v>
      </c>
      <c r="B299" s="123">
        <f t="shared" si="147"/>
        <v>0.3189579405087159</v>
      </c>
      <c r="C299" s="123">
        <f t="shared" si="148"/>
        <v>0.30879324277523379</v>
      </c>
      <c r="D299" s="123">
        <f t="shared" si="149"/>
        <v>0.37224881671605037</v>
      </c>
      <c r="E299" s="125">
        <f t="shared" si="150"/>
        <v>1</v>
      </c>
    </row>
    <row r="300" spans="1:5" x14ac:dyDescent="0.25">
      <c r="A300" s="41" t="s">
        <v>21</v>
      </c>
      <c r="B300" s="123">
        <f t="shared" si="147"/>
        <v>0.3143096744948306</v>
      </c>
      <c r="C300" s="123">
        <f t="shared" si="148"/>
        <v>0.31443869100545702</v>
      </c>
      <c r="D300" s="123">
        <f t="shared" si="149"/>
        <v>0.37125163449971232</v>
      </c>
      <c r="E300" s="125">
        <f t="shared" si="150"/>
        <v>1</v>
      </c>
    </row>
    <row r="301" spans="1:5" x14ac:dyDescent="0.25">
      <c r="A301" s="41" t="s">
        <v>23</v>
      </c>
      <c r="B301" s="123">
        <f t="shared" si="147"/>
        <v>0.31722332524450325</v>
      </c>
      <c r="C301" s="123">
        <f t="shared" si="148"/>
        <v>0.31208324141480992</v>
      </c>
      <c r="D301" s="123">
        <f t="shared" si="149"/>
        <v>0.37069343334068683</v>
      </c>
      <c r="E301" s="125">
        <f t="shared" si="150"/>
        <v>1</v>
      </c>
    </row>
    <row r="302" spans="1:5" x14ac:dyDescent="0.25">
      <c r="A302" s="41" t="s">
        <v>24</v>
      </c>
      <c r="B302" s="123">
        <f t="shared" si="147"/>
        <v>0.31079836960586343</v>
      </c>
      <c r="C302" s="123">
        <f t="shared" si="148"/>
        <v>0.31134357938822821</v>
      </c>
      <c r="D302" s="123">
        <f t="shared" si="149"/>
        <v>0.3778580510059083</v>
      </c>
      <c r="E302" s="125">
        <f t="shared" si="150"/>
        <v>0.99999999999999989</v>
      </c>
    </row>
    <row r="304" spans="1:5" ht="15.75" thickBot="1" x14ac:dyDescent="0.3">
      <c r="A304" s="1" t="s">
        <v>178</v>
      </c>
    </row>
    <row r="305" spans="1:40" ht="15.75" thickBot="1" x14ac:dyDescent="0.3">
      <c r="A305" s="233" t="s">
        <v>27</v>
      </c>
      <c r="B305" s="229" t="s">
        <v>136</v>
      </c>
      <c r="C305" s="235"/>
      <c r="D305" s="235"/>
      <c r="E305" s="235"/>
      <c r="F305" s="235"/>
      <c r="G305" s="235"/>
      <c r="H305" s="235"/>
      <c r="I305" s="236"/>
      <c r="J305" s="229" t="s">
        <v>137</v>
      </c>
      <c r="K305" s="235"/>
      <c r="L305" s="235"/>
      <c r="M305" s="235"/>
      <c r="N305" s="235"/>
      <c r="O305" s="235"/>
      <c r="P305" s="235"/>
      <c r="Q305" s="236"/>
      <c r="R305" s="229" t="s">
        <v>138</v>
      </c>
      <c r="S305" s="235"/>
      <c r="T305" s="235"/>
      <c r="U305" s="235"/>
      <c r="V305" s="235"/>
      <c r="W305" s="235"/>
      <c r="X305" s="235"/>
      <c r="Y305" s="236"/>
    </row>
    <row r="306" spans="1:40" ht="33.75" customHeight="1" thickBot="1" x14ac:dyDescent="0.3">
      <c r="A306" s="234"/>
      <c r="B306" s="226" t="s">
        <v>3</v>
      </c>
      <c r="C306" s="227"/>
      <c r="D306" s="227"/>
      <c r="E306" s="228"/>
      <c r="F306" s="229" t="s">
        <v>4</v>
      </c>
      <c r="G306" s="227"/>
      <c r="H306" s="227"/>
      <c r="I306" s="228"/>
      <c r="J306" s="226" t="s">
        <v>3</v>
      </c>
      <c r="K306" s="227"/>
      <c r="L306" s="227"/>
      <c r="M306" s="228"/>
      <c r="N306" s="229" t="s">
        <v>4</v>
      </c>
      <c r="O306" s="227"/>
      <c r="P306" s="227"/>
      <c r="Q306" s="228"/>
      <c r="R306" s="226" t="s">
        <v>3</v>
      </c>
      <c r="S306" s="227"/>
      <c r="T306" s="227"/>
      <c r="U306" s="228"/>
      <c r="V306" s="229" t="s">
        <v>4</v>
      </c>
      <c r="W306" s="227"/>
      <c r="X306" s="227"/>
      <c r="Y306" s="228"/>
    </row>
    <row r="307" spans="1:40" x14ac:dyDescent="0.25">
      <c r="A307" s="102" t="s">
        <v>25</v>
      </c>
      <c r="B307" s="6">
        <f t="shared" ref="B307:B316" si="151">BG14</f>
        <v>6.4600000000000009</v>
      </c>
      <c r="C307" s="7">
        <f t="shared" ref="C307:C316" si="152">BH14</f>
        <v>12.6</v>
      </c>
      <c r="D307" s="7">
        <f t="shared" ref="D307:D316" si="153">BI14</f>
        <v>15.81</v>
      </c>
      <c r="E307" s="8">
        <f t="shared" ref="E307:E316" si="154">BJ14</f>
        <v>20.655000000000001</v>
      </c>
      <c r="F307" s="6">
        <f t="shared" ref="F307:F316" si="155">BK14</f>
        <v>8.3199999999999985</v>
      </c>
      <c r="G307" s="7">
        <f t="shared" ref="G307:G316" si="156">BL14</f>
        <v>12.6</v>
      </c>
      <c r="H307" s="7">
        <f t="shared" ref="H307:H316" si="157">BM14</f>
        <v>15.81</v>
      </c>
      <c r="I307" s="100">
        <f t="shared" ref="I307:I316" si="158">BN14</f>
        <v>19.03</v>
      </c>
      <c r="J307" s="6">
        <f t="shared" ref="J307:J316" si="159">BG66</f>
        <v>4.22</v>
      </c>
      <c r="K307" s="7">
        <f t="shared" ref="K307:K316" si="160">BH66</f>
        <v>9.89</v>
      </c>
      <c r="L307" s="7">
        <f t="shared" ref="L307:L316" si="161">BI66</f>
        <v>15.18</v>
      </c>
      <c r="M307" s="8">
        <f t="shared" ref="M307:M316" si="162">BJ66</f>
        <v>21.215000000000003</v>
      </c>
      <c r="N307" s="6">
        <f t="shared" ref="N307:N316" si="163">BK66</f>
        <v>5.6749999999999989</v>
      </c>
      <c r="O307" s="7">
        <f t="shared" ref="O307:O316" si="164">BL66</f>
        <v>9.89</v>
      </c>
      <c r="P307" s="7">
        <f t="shared" ref="P307:P316" si="165">BM66</f>
        <v>15.18</v>
      </c>
      <c r="Q307" s="8">
        <f t="shared" ref="Q307:Q316" si="166">BN66</f>
        <v>19.23</v>
      </c>
      <c r="R307" s="6">
        <f t="shared" ref="R307:R316" si="167">BG118</f>
        <v>5.0450000000000008</v>
      </c>
      <c r="S307" s="7">
        <f t="shared" ref="S307:S316" si="168">BH118</f>
        <v>9.9149999999999991</v>
      </c>
      <c r="T307" s="7">
        <f t="shared" ref="T307:T316" si="169">BI118</f>
        <v>13.555</v>
      </c>
      <c r="U307" s="8">
        <f t="shared" ref="U307:U316" si="170">BJ118</f>
        <v>18.465</v>
      </c>
      <c r="V307" s="6">
        <f t="shared" ref="V307:V316" si="171">BK118</f>
        <v>6.4289999999999994</v>
      </c>
      <c r="W307" s="7">
        <f t="shared" ref="W307:W316" si="172">BL118</f>
        <v>9.9149999999999991</v>
      </c>
      <c r="X307" s="7">
        <f t="shared" ref="X307:X316" si="173">BM118</f>
        <v>13.555</v>
      </c>
      <c r="Y307" s="8">
        <f t="shared" ref="Y307:Y316" si="174">BN118</f>
        <v>16.830000000000002</v>
      </c>
    </row>
    <row r="308" spans="1:40" x14ac:dyDescent="0.25">
      <c r="A308" s="98" t="s">
        <v>14</v>
      </c>
      <c r="B308" s="4">
        <f t="shared" si="151"/>
        <v>1.1550000000000002</v>
      </c>
      <c r="C308" s="2">
        <f t="shared" si="152"/>
        <v>4.4550000000000001</v>
      </c>
      <c r="D308" s="2">
        <f t="shared" si="153"/>
        <v>9.0749999999999993</v>
      </c>
      <c r="E308" s="5">
        <f t="shared" si="154"/>
        <v>14.025</v>
      </c>
      <c r="F308" s="4">
        <f t="shared" si="155"/>
        <v>1.8190000000000008</v>
      </c>
      <c r="G308" s="2">
        <f t="shared" si="156"/>
        <v>4.4550000000000001</v>
      </c>
      <c r="H308" s="2">
        <f t="shared" si="157"/>
        <v>9.0749999999999993</v>
      </c>
      <c r="I308" s="94">
        <f t="shared" si="158"/>
        <v>12.430000000000003</v>
      </c>
      <c r="J308" s="4">
        <f t="shared" si="159"/>
        <v>1.1550000000000002</v>
      </c>
      <c r="K308" s="2">
        <f t="shared" si="160"/>
        <v>5.5550000000000006</v>
      </c>
      <c r="L308" s="2">
        <f t="shared" si="161"/>
        <v>11.275</v>
      </c>
      <c r="M308" s="5">
        <f t="shared" si="162"/>
        <v>16.775000000000002</v>
      </c>
      <c r="N308" s="4">
        <f t="shared" si="163"/>
        <v>1.9650000000000007</v>
      </c>
      <c r="O308" s="2">
        <f t="shared" si="164"/>
        <v>5.5550000000000006</v>
      </c>
      <c r="P308" s="2">
        <f t="shared" si="165"/>
        <v>11.275</v>
      </c>
      <c r="Q308" s="5">
        <f t="shared" si="166"/>
        <v>15.030000000000005</v>
      </c>
      <c r="R308" s="4">
        <f t="shared" si="167"/>
        <v>0.60499999999999998</v>
      </c>
      <c r="S308" s="2">
        <f t="shared" si="168"/>
        <v>3.6300000000000008</v>
      </c>
      <c r="T308" s="2">
        <f t="shared" si="169"/>
        <v>8.25</v>
      </c>
      <c r="U308" s="5">
        <f t="shared" si="170"/>
        <v>12.9</v>
      </c>
      <c r="V308" s="4">
        <f t="shared" si="171"/>
        <v>1.0249999999999999</v>
      </c>
      <c r="W308" s="2">
        <f t="shared" si="172"/>
        <v>3.6300000000000008</v>
      </c>
      <c r="X308" s="2">
        <f t="shared" si="173"/>
        <v>8.25</v>
      </c>
      <c r="Y308" s="5">
        <f t="shared" si="174"/>
        <v>11.430000000000001</v>
      </c>
    </row>
    <row r="309" spans="1:40" x14ac:dyDescent="0.25">
      <c r="A309" s="98" t="s">
        <v>15</v>
      </c>
      <c r="B309" s="4">
        <f t="shared" si="151"/>
        <v>4.0150000000000006</v>
      </c>
      <c r="C309" s="2">
        <f t="shared" si="152"/>
        <v>7.4250000000000007</v>
      </c>
      <c r="D309" s="2">
        <f t="shared" si="153"/>
        <v>12.705000000000002</v>
      </c>
      <c r="E309" s="5">
        <f t="shared" si="154"/>
        <v>19.965</v>
      </c>
      <c r="F309" s="4">
        <f t="shared" si="155"/>
        <v>5.08</v>
      </c>
      <c r="G309" s="2">
        <f t="shared" si="156"/>
        <v>7.4250000000000007</v>
      </c>
      <c r="H309" s="2">
        <f t="shared" si="157"/>
        <v>12.705000000000002</v>
      </c>
      <c r="I309" s="94">
        <f t="shared" si="158"/>
        <v>17.489999999999998</v>
      </c>
      <c r="J309" s="4">
        <f t="shared" si="159"/>
        <v>7.3000000000000007</v>
      </c>
      <c r="K309" s="2">
        <f t="shared" si="160"/>
        <v>13.325000000000001</v>
      </c>
      <c r="L309" s="2">
        <f t="shared" si="161"/>
        <v>18.395</v>
      </c>
      <c r="M309" s="5">
        <f t="shared" si="162"/>
        <v>25.310000000000002</v>
      </c>
      <c r="N309" s="4">
        <f t="shared" si="163"/>
        <v>9.1149999999999984</v>
      </c>
      <c r="O309" s="2">
        <f t="shared" si="164"/>
        <v>13.325000000000001</v>
      </c>
      <c r="P309" s="2">
        <f t="shared" si="165"/>
        <v>18.395</v>
      </c>
      <c r="Q309" s="5">
        <f t="shared" si="166"/>
        <v>22.96</v>
      </c>
      <c r="R309" s="4">
        <f t="shared" si="167"/>
        <v>4.8249999999999993</v>
      </c>
      <c r="S309" s="2">
        <f t="shared" si="168"/>
        <v>9.4499999999999993</v>
      </c>
      <c r="T309" s="2">
        <f t="shared" si="169"/>
        <v>13.97</v>
      </c>
      <c r="U309" s="5">
        <f t="shared" si="170"/>
        <v>20.310000000000002</v>
      </c>
      <c r="V309" s="4">
        <f t="shared" si="171"/>
        <v>6.2499999999999982</v>
      </c>
      <c r="W309" s="2">
        <f t="shared" si="172"/>
        <v>9.4499999999999993</v>
      </c>
      <c r="X309" s="2">
        <f t="shared" si="173"/>
        <v>13.97</v>
      </c>
      <c r="Y309" s="5">
        <f t="shared" si="174"/>
        <v>18.159999999999997</v>
      </c>
    </row>
    <row r="310" spans="1:40" x14ac:dyDescent="0.25">
      <c r="A310" s="98" t="s">
        <v>16</v>
      </c>
      <c r="B310" s="4">
        <f t="shared" si="151"/>
        <v>5.6500000000000012</v>
      </c>
      <c r="C310" s="2">
        <f t="shared" si="152"/>
        <v>10.574999999999999</v>
      </c>
      <c r="D310" s="2">
        <f t="shared" si="153"/>
        <v>14.545000000000002</v>
      </c>
      <c r="E310" s="5">
        <f t="shared" si="154"/>
        <v>20.309999999999999</v>
      </c>
      <c r="F310" s="4">
        <f t="shared" si="155"/>
        <v>7.15</v>
      </c>
      <c r="G310" s="2">
        <f t="shared" si="156"/>
        <v>10.574999999999999</v>
      </c>
      <c r="H310" s="2">
        <f t="shared" si="157"/>
        <v>14.545000000000002</v>
      </c>
      <c r="I310" s="94">
        <f t="shared" si="158"/>
        <v>18.36</v>
      </c>
      <c r="J310" s="4">
        <f t="shared" si="159"/>
        <v>6.1450000000000005</v>
      </c>
      <c r="K310" s="2">
        <f t="shared" si="160"/>
        <v>11.840000000000002</v>
      </c>
      <c r="L310" s="2">
        <f t="shared" si="161"/>
        <v>16.579999999999998</v>
      </c>
      <c r="M310" s="5">
        <f t="shared" si="162"/>
        <v>22.340000000000003</v>
      </c>
      <c r="N310" s="4">
        <f t="shared" si="163"/>
        <v>7.5999999999999979</v>
      </c>
      <c r="O310" s="2">
        <f t="shared" si="164"/>
        <v>11.840000000000002</v>
      </c>
      <c r="P310" s="2">
        <f t="shared" si="165"/>
        <v>16.579999999999998</v>
      </c>
      <c r="Q310" s="5">
        <f t="shared" si="166"/>
        <v>20.43</v>
      </c>
      <c r="R310" s="4">
        <f t="shared" si="167"/>
        <v>2.1950000000000003</v>
      </c>
      <c r="S310" s="2">
        <f t="shared" si="168"/>
        <v>6.0149999999999997</v>
      </c>
      <c r="T310" s="2">
        <f t="shared" si="169"/>
        <v>10.755000000000001</v>
      </c>
      <c r="U310" s="5">
        <f t="shared" si="170"/>
        <v>16.215000000000003</v>
      </c>
      <c r="V310" s="4">
        <f t="shared" si="171"/>
        <v>3.1250000000000009</v>
      </c>
      <c r="W310" s="2">
        <f t="shared" si="172"/>
        <v>6.0149999999999997</v>
      </c>
      <c r="X310" s="2">
        <f t="shared" si="173"/>
        <v>10.755000000000001</v>
      </c>
      <c r="Y310" s="5">
        <f t="shared" si="174"/>
        <v>14.430000000000003</v>
      </c>
    </row>
    <row r="311" spans="1:40" x14ac:dyDescent="0.25">
      <c r="A311" s="98" t="s">
        <v>18</v>
      </c>
      <c r="B311" s="4">
        <f t="shared" si="151"/>
        <v>4.45</v>
      </c>
      <c r="C311" s="2">
        <f t="shared" si="152"/>
        <v>8.3250000000000011</v>
      </c>
      <c r="D311" s="2">
        <f t="shared" si="153"/>
        <v>13.395</v>
      </c>
      <c r="E311" s="5">
        <f t="shared" si="154"/>
        <v>20.310000000000002</v>
      </c>
      <c r="F311" s="4">
        <f t="shared" si="155"/>
        <v>5.6650000000000009</v>
      </c>
      <c r="G311" s="2">
        <f t="shared" si="156"/>
        <v>8.3250000000000011</v>
      </c>
      <c r="H311" s="2">
        <f t="shared" si="157"/>
        <v>13.395</v>
      </c>
      <c r="I311" s="94">
        <f t="shared" si="158"/>
        <v>17.96</v>
      </c>
      <c r="J311" s="4">
        <f t="shared" si="159"/>
        <v>7.3000000000000007</v>
      </c>
      <c r="K311" s="2">
        <f t="shared" si="160"/>
        <v>13.325000000000001</v>
      </c>
      <c r="L311" s="2">
        <f t="shared" si="161"/>
        <v>18.395</v>
      </c>
      <c r="M311" s="5">
        <f t="shared" si="162"/>
        <v>25.310000000000002</v>
      </c>
      <c r="N311" s="4">
        <f t="shared" si="163"/>
        <v>9.1149999999999984</v>
      </c>
      <c r="O311" s="2">
        <f t="shared" si="164"/>
        <v>13.325000000000001</v>
      </c>
      <c r="P311" s="2">
        <f t="shared" si="165"/>
        <v>18.395</v>
      </c>
      <c r="Q311" s="5">
        <f t="shared" si="166"/>
        <v>22.96</v>
      </c>
      <c r="R311" s="4">
        <f t="shared" si="167"/>
        <v>2.57</v>
      </c>
      <c r="S311" s="2">
        <f t="shared" si="168"/>
        <v>7.14</v>
      </c>
      <c r="T311" s="2">
        <f t="shared" si="169"/>
        <v>11.33</v>
      </c>
      <c r="U311" s="5">
        <f t="shared" si="170"/>
        <v>16.215</v>
      </c>
      <c r="V311" s="4">
        <f t="shared" si="171"/>
        <v>3.7099999999999991</v>
      </c>
      <c r="W311" s="2">
        <f t="shared" si="172"/>
        <v>7.14</v>
      </c>
      <c r="X311" s="2">
        <f t="shared" si="173"/>
        <v>11.33</v>
      </c>
      <c r="Y311" s="5">
        <f t="shared" si="174"/>
        <v>14.63</v>
      </c>
    </row>
    <row r="312" spans="1:40" x14ac:dyDescent="0.25">
      <c r="A312" s="98" t="s">
        <v>19</v>
      </c>
      <c r="B312" s="4">
        <f t="shared" si="151"/>
        <v>4.495000000000001</v>
      </c>
      <c r="C312" s="2">
        <f t="shared" si="152"/>
        <v>9.09</v>
      </c>
      <c r="D312" s="2">
        <f t="shared" si="153"/>
        <v>12.73</v>
      </c>
      <c r="E312" s="5">
        <f t="shared" si="154"/>
        <v>17.34</v>
      </c>
      <c r="F312" s="4">
        <f t="shared" si="155"/>
        <v>5.6349999999999989</v>
      </c>
      <c r="G312" s="2">
        <f t="shared" si="156"/>
        <v>9.09</v>
      </c>
      <c r="H312" s="2">
        <f t="shared" si="157"/>
        <v>12.73</v>
      </c>
      <c r="I312" s="94">
        <f t="shared" si="158"/>
        <v>15.83</v>
      </c>
      <c r="J312" s="4">
        <f t="shared" si="159"/>
        <v>6.1450000000000005</v>
      </c>
      <c r="K312" s="2">
        <f t="shared" si="160"/>
        <v>11.840000000000002</v>
      </c>
      <c r="L312" s="2">
        <f t="shared" si="161"/>
        <v>16.579999999999998</v>
      </c>
      <c r="M312" s="5">
        <f t="shared" si="162"/>
        <v>22.340000000000003</v>
      </c>
      <c r="N312" s="4">
        <f t="shared" si="163"/>
        <v>7.5999999999999979</v>
      </c>
      <c r="O312" s="2">
        <f t="shared" si="164"/>
        <v>11.840000000000002</v>
      </c>
      <c r="P312" s="2">
        <f t="shared" si="165"/>
        <v>16.579999999999998</v>
      </c>
      <c r="Q312" s="5">
        <f t="shared" si="166"/>
        <v>20.43</v>
      </c>
      <c r="R312" s="4">
        <f t="shared" si="167"/>
        <v>1.1550000000000002</v>
      </c>
      <c r="S312" s="2">
        <f t="shared" si="168"/>
        <v>4.4550000000000001</v>
      </c>
      <c r="T312" s="2">
        <f t="shared" si="169"/>
        <v>9.0750000000000011</v>
      </c>
      <c r="U312" s="5">
        <f t="shared" si="170"/>
        <v>14.025</v>
      </c>
      <c r="V312" s="4">
        <f t="shared" si="171"/>
        <v>1.8190000000000008</v>
      </c>
      <c r="W312" s="2">
        <f t="shared" si="172"/>
        <v>4.4550000000000001</v>
      </c>
      <c r="X312" s="2">
        <f t="shared" si="173"/>
        <v>9.0750000000000011</v>
      </c>
      <c r="Y312" s="5">
        <f t="shared" si="174"/>
        <v>12.430000000000003</v>
      </c>
    </row>
    <row r="313" spans="1:40" x14ac:dyDescent="0.25">
      <c r="A313" s="98" t="s">
        <v>20</v>
      </c>
      <c r="B313" s="4">
        <f t="shared" si="151"/>
        <v>4.495000000000001</v>
      </c>
      <c r="C313" s="2">
        <f t="shared" si="152"/>
        <v>9.09</v>
      </c>
      <c r="D313" s="2">
        <f t="shared" si="153"/>
        <v>12.73</v>
      </c>
      <c r="E313" s="5">
        <f t="shared" si="154"/>
        <v>17.34</v>
      </c>
      <c r="F313" s="4">
        <f t="shared" si="155"/>
        <v>5.6349999999999989</v>
      </c>
      <c r="G313" s="2">
        <f t="shared" si="156"/>
        <v>9.09</v>
      </c>
      <c r="H313" s="2">
        <f t="shared" si="157"/>
        <v>12.73</v>
      </c>
      <c r="I313" s="94">
        <f t="shared" si="158"/>
        <v>15.83</v>
      </c>
      <c r="J313" s="4">
        <f t="shared" si="159"/>
        <v>6.1450000000000005</v>
      </c>
      <c r="K313" s="2">
        <f t="shared" si="160"/>
        <v>11.840000000000002</v>
      </c>
      <c r="L313" s="2">
        <f t="shared" si="161"/>
        <v>16.579999999999998</v>
      </c>
      <c r="M313" s="5">
        <f t="shared" si="162"/>
        <v>22.340000000000003</v>
      </c>
      <c r="N313" s="4">
        <f t="shared" si="163"/>
        <v>7.5999999999999979</v>
      </c>
      <c r="O313" s="2">
        <f t="shared" si="164"/>
        <v>11.840000000000002</v>
      </c>
      <c r="P313" s="2">
        <f t="shared" si="165"/>
        <v>16.579999999999998</v>
      </c>
      <c r="Q313" s="5">
        <f t="shared" si="166"/>
        <v>20.43</v>
      </c>
      <c r="R313" s="4">
        <f t="shared" si="167"/>
        <v>2.1950000000000003</v>
      </c>
      <c r="S313" s="2">
        <f t="shared" si="168"/>
        <v>6.0149999999999997</v>
      </c>
      <c r="T313" s="2">
        <f t="shared" si="169"/>
        <v>10.755000000000001</v>
      </c>
      <c r="U313" s="5">
        <f t="shared" si="170"/>
        <v>16.215000000000003</v>
      </c>
      <c r="V313" s="4">
        <f t="shared" si="171"/>
        <v>3.1250000000000009</v>
      </c>
      <c r="W313" s="2">
        <f t="shared" si="172"/>
        <v>6.0149999999999997</v>
      </c>
      <c r="X313" s="2">
        <f t="shared" si="173"/>
        <v>10.755000000000001</v>
      </c>
      <c r="Y313" s="5">
        <f t="shared" si="174"/>
        <v>14.430000000000003</v>
      </c>
    </row>
    <row r="314" spans="1:40" x14ac:dyDescent="0.25">
      <c r="A314" s="98" t="s">
        <v>21</v>
      </c>
      <c r="B314" s="4">
        <f t="shared" si="151"/>
        <v>5.26</v>
      </c>
      <c r="C314" s="2">
        <f t="shared" si="152"/>
        <v>10.350000000000001</v>
      </c>
      <c r="D314" s="2">
        <f t="shared" si="153"/>
        <v>14.66</v>
      </c>
      <c r="E314" s="5">
        <f t="shared" si="154"/>
        <v>20.655000000000001</v>
      </c>
      <c r="F314" s="4">
        <f t="shared" si="155"/>
        <v>6.8349999999999991</v>
      </c>
      <c r="G314" s="2">
        <f t="shared" si="156"/>
        <v>10.350000000000001</v>
      </c>
      <c r="H314" s="2">
        <f t="shared" si="157"/>
        <v>14.66</v>
      </c>
      <c r="I314" s="94">
        <f t="shared" si="158"/>
        <v>18.63</v>
      </c>
      <c r="J314" s="4">
        <f t="shared" si="159"/>
        <v>4.22</v>
      </c>
      <c r="K314" s="2">
        <f t="shared" si="160"/>
        <v>9.89</v>
      </c>
      <c r="L314" s="2">
        <f t="shared" si="161"/>
        <v>15.18</v>
      </c>
      <c r="M314" s="5">
        <f t="shared" si="162"/>
        <v>21.215000000000003</v>
      </c>
      <c r="N314" s="4">
        <f t="shared" si="163"/>
        <v>5.6749999999999989</v>
      </c>
      <c r="O314" s="2">
        <f t="shared" si="164"/>
        <v>9.89</v>
      </c>
      <c r="P314" s="2">
        <f t="shared" si="165"/>
        <v>15.18</v>
      </c>
      <c r="Q314" s="5">
        <f t="shared" si="166"/>
        <v>19.23</v>
      </c>
      <c r="R314" s="4">
        <f t="shared" si="167"/>
        <v>4.495000000000001</v>
      </c>
      <c r="S314" s="2">
        <f t="shared" si="168"/>
        <v>9.09</v>
      </c>
      <c r="T314" s="2">
        <f t="shared" si="169"/>
        <v>12.73</v>
      </c>
      <c r="U314" s="5">
        <f t="shared" si="170"/>
        <v>17.34</v>
      </c>
      <c r="V314" s="4">
        <f t="shared" si="171"/>
        <v>5.6349999999999989</v>
      </c>
      <c r="W314" s="2">
        <f t="shared" si="172"/>
        <v>9.09</v>
      </c>
      <c r="X314" s="2">
        <f t="shared" si="173"/>
        <v>12.73</v>
      </c>
      <c r="Y314" s="5">
        <f t="shared" si="174"/>
        <v>15.83</v>
      </c>
    </row>
    <row r="315" spans="1:40" x14ac:dyDescent="0.25">
      <c r="A315" s="98" t="s">
        <v>23</v>
      </c>
      <c r="B315" s="4">
        <f t="shared" si="151"/>
        <v>4.45</v>
      </c>
      <c r="C315" s="2">
        <f t="shared" si="152"/>
        <v>8.3250000000000011</v>
      </c>
      <c r="D315" s="2">
        <f t="shared" si="153"/>
        <v>13.395</v>
      </c>
      <c r="E315" s="5">
        <f t="shared" si="154"/>
        <v>20.310000000000002</v>
      </c>
      <c r="F315" s="4">
        <f t="shared" si="155"/>
        <v>5.6650000000000009</v>
      </c>
      <c r="G315" s="2">
        <f t="shared" si="156"/>
        <v>8.3250000000000011</v>
      </c>
      <c r="H315" s="2">
        <f t="shared" si="157"/>
        <v>13.395</v>
      </c>
      <c r="I315" s="94">
        <f t="shared" si="158"/>
        <v>17.96</v>
      </c>
      <c r="J315" s="4">
        <f t="shared" si="159"/>
        <v>5.0450000000000008</v>
      </c>
      <c r="K315" s="2">
        <f t="shared" si="160"/>
        <v>11.015000000000001</v>
      </c>
      <c r="L315" s="2">
        <f t="shared" si="161"/>
        <v>15.754999999999999</v>
      </c>
      <c r="M315" s="5">
        <f t="shared" si="162"/>
        <v>21.215</v>
      </c>
      <c r="N315" s="4">
        <f t="shared" si="163"/>
        <v>6.5749999999999993</v>
      </c>
      <c r="O315" s="2">
        <f t="shared" si="164"/>
        <v>11.015000000000001</v>
      </c>
      <c r="P315" s="2">
        <f t="shared" si="165"/>
        <v>15.754999999999999</v>
      </c>
      <c r="Q315" s="5">
        <f t="shared" si="166"/>
        <v>19.430000000000003</v>
      </c>
      <c r="R315" s="4">
        <f t="shared" si="167"/>
        <v>2.57</v>
      </c>
      <c r="S315" s="2">
        <f t="shared" si="168"/>
        <v>7.14</v>
      </c>
      <c r="T315" s="2">
        <f t="shared" si="169"/>
        <v>11.33</v>
      </c>
      <c r="U315" s="5">
        <f t="shared" si="170"/>
        <v>16.215</v>
      </c>
      <c r="V315" s="4">
        <f t="shared" si="171"/>
        <v>3.7099999999999991</v>
      </c>
      <c r="W315" s="2">
        <f t="shared" si="172"/>
        <v>7.14</v>
      </c>
      <c r="X315" s="2">
        <f t="shared" si="173"/>
        <v>11.33</v>
      </c>
      <c r="Y315" s="5">
        <f t="shared" si="174"/>
        <v>14.63</v>
      </c>
    </row>
    <row r="316" spans="1:40" ht="15.75" thickBot="1" x14ac:dyDescent="0.3">
      <c r="A316" s="99" t="s">
        <v>24</v>
      </c>
      <c r="B316" s="95">
        <f t="shared" si="151"/>
        <v>2.1950000000000003</v>
      </c>
      <c r="C316" s="58">
        <f t="shared" si="152"/>
        <v>6.0150000000000006</v>
      </c>
      <c r="D316" s="58">
        <f t="shared" si="153"/>
        <v>10.754999999999999</v>
      </c>
      <c r="E316" s="62">
        <f t="shared" si="154"/>
        <v>16.215</v>
      </c>
      <c r="F316" s="95">
        <f t="shared" si="155"/>
        <v>3.1250000000000009</v>
      </c>
      <c r="G316" s="58">
        <f t="shared" si="156"/>
        <v>6.0150000000000006</v>
      </c>
      <c r="H316" s="58">
        <f t="shared" si="157"/>
        <v>10.754999999999999</v>
      </c>
      <c r="I316" s="101">
        <f t="shared" si="158"/>
        <v>14.430000000000003</v>
      </c>
      <c r="J316" s="95">
        <f t="shared" si="159"/>
        <v>5.0450000000000008</v>
      </c>
      <c r="K316" s="58">
        <f t="shared" si="160"/>
        <v>11.015000000000001</v>
      </c>
      <c r="L316" s="58">
        <f t="shared" si="161"/>
        <v>15.754999999999999</v>
      </c>
      <c r="M316" s="62">
        <f t="shared" si="162"/>
        <v>21.215</v>
      </c>
      <c r="N316" s="95">
        <f t="shared" si="163"/>
        <v>6.5749999999999993</v>
      </c>
      <c r="O316" s="58">
        <f t="shared" si="164"/>
        <v>11.015000000000001</v>
      </c>
      <c r="P316" s="58">
        <f t="shared" si="165"/>
        <v>15.754999999999999</v>
      </c>
      <c r="Q316" s="62">
        <f t="shared" si="166"/>
        <v>19.430000000000003</v>
      </c>
      <c r="R316" s="95">
        <f t="shared" si="167"/>
        <v>4.22</v>
      </c>
      <c r="S316" s="58">
        <f t="shared" si="168"/>
        <v>8.7900000000000009</v>
      </c>
      <c r="T316" s="58">
        <f t="shared" si="169"/>
        <v>12.98</v>
      </c>
      <c r="U316" s="62">
        <f t="shared" si="170"/>
        <v>18.465</v>
      </c>
      <c r="V316" s="95">
        <f t="shared" si="171"/>
        <v>5.5289999999999981</v>
      </c>
      <c r="W316" s="58">
        <f t="shared" si="172"/>
        <v>8.7900000000000009</v>
      </c>
      <c r="X316" s="58">
        <f t="shared" si="173"/>
        <v>12.98</v>
      </c>
      <c r="Y316" s="62">
        <f t="shared" si="174"/>
        <v>16.63</v>
      </c>
    </row>
    <row r="318" spans="1:40" ht="15.75" thickBot="1" x14ac:dyDescent="0.3">
      <c r="A318" s="1" t="s">
        <v>144</v>
      </c>
      <c r="AH318">
        <v>0.8</v>
      </c>
    </row>
    <row r="319" spans="1:40" ht="15.75" thickBot="1" x14ac:dyDescent="0.3">
      <c r="A319" s="233" t="s">
        <v>27</v>
      </c>
      <c r="B319" s="229" t="s">
        <v>141</v>
      </c>
      <c r="C319" s="235"/>
      <c r="D319" s="235"/>
      <c r="E319" s="235"/>
      <c r="F319" s="235"/>
      <c r="G319" s="235"/>
      <c r="H319" s="235"/>
      <c r="I319" s="236"/>
      <c r="J319" s="229" t="s">
        <v>142</v>
      </c>
      <c r="K319" s="235"/>
      <c r="L319" s="235"/>
      <c r="M319" s="235"/>
      <c r="N319" s="235"/>
      <c r="O319" s="235"/>
      <c r="P319" s="235"/>
      <c r="Q319" s="236"/>
      <c r="R319" s="229" t="s">
        <v>145</v>
      </c>
      <c r="S319" s="235"/>
      <c r="T319" s="235"/>
      <c r="U319" s="235"/>
      <c r="V319" s="235"/>
      <c r="W319" s="235"/>
      <c r="X319" s="235"/>
      <c r="Y319" s="236"/>
      <c r="Z319" s="230" t="s">
        <v>143</v>
      </c>
      <c r="AA319" s="231"/>
      <c r="AB319" s="231"/>
      <c r="AC319" s="231"/>
      <c r="AD319" s="231"/>
      <c r="AE319" s="231"/>
      <c r="AF319" s="231"/>
      <c r="AG319" s="232"/>
      <c r="AH319" s="219" t="s">
        <v>82</v>
      </c>
      <c r="AI319" s="220"/>
      <c r="AJ319" s="220"/>
      <c r="AK319" s="221"/>
      <c r="AL319" s="222" t="s">
        <v>84</v>
      </c>
      <c r="AM319" s="223"/>
      <c r="AN319" s="224" t="s">
        <v>87</v>
      </c>
    </row>
    <row r="320" spans="1:40" ht="31.5" customHeight="1" thickBot="1" x14ac:dyDescent="0.3">
      <c r="A320" s="234"/>
      <c r="B320" s="226" t="s">
        <v>3</v>
      </c>
      <c r="C320" s="227"/>
      <c r="D320" s="227"/>
      <c r="E320" s="228"/>
      <c r="F320" s="229" t="s">
        <v>4</v>
      </c>
      <c r="G320" s="227"/>
      <c r="H320" s="227"/>
      <c r="I320" s="228"/>
      <c r="J320" s="226" t="s">
        <v>3</v>
      </c>
      <c r="K320" s="252"/>
      <c r="L320" s="252"/>
      <c r="M320" s="253"/>
      <c r="N320" s="229" t="s">
        <v>4</v>
      </c>
      <c r="O320" s="227"/>
      <c r="P320" s="227"/>
      <c r="Q320" s="228"/>
      <c r="R320" s="226" t="s">
        <v>3</v>
      </c>
      <c r="S320" s="227"/>
      <c r="T320" s="227"/>
      <c r="U320" s="228"/>
      <c r="V320" s="229" t="s">
        <v>4</v>
      </c>
      <c r="W320" s="227"/>
      <c r="X320" s="227"/>
      <c r="Y320" s="228"/>
      <c r="Z320" s="230" t="s">
        <v>3</v>
      </c>
      <c r="AA320" s="231"/>
      <c r="AB320" s="231"/>
      <c r="AC320" s="232"/>
      <c r="AD320" s="230" t="s">
        <v>4</v>
      </c>
      <c r="AE320" s="231"/>
      <c r="AF320" s="231"/>
      <c r="AG320" s="232"/>
      <c r="AH320" s="216" t="s">
        <v>83</v>
      </c>
      <c r="AI320" s="217"/>
      <c r="AJ320" s="216" t="s">
        <v>5</v>
      </c>
      <c r="AK320" s="218"/>
      <c r="AL320" s="80" t="s">
        <v>85</v>
      </c>
      <c r="AM320" s="80" t="s">
        <v>86</v>
      </c>
      <c r="AN320" s="225"/>
    </row>
    <row r="321" spans="1:40" x14ac:dyDescent="0.25">
      <c r="A321" s="102" t="s">
        <v>25</v>
      </c>
      <c r="B321" s="15">
        <f>B307*$B293</f>
        <v>2.0166637698014136</v>
      </c>
      <c r="C321" s="16">
        <f t="shared" ref="C321:I321" si="175">C307*$B293</f>
        <v>3.9334308822752022</v>
      </c>
      <c r="D321" s="16">
        <f t="shared" si="175"/>
        <v>4.9355192260929321</v>
      </c>
      <c r="E321" s="17">
        <f t="shared" si="175"/>
        <v>6.4480170534439925</v>
      </c>
      <c r="F321" s="15">
        <f t="shared" si="175"/>
        <v>2.5973130905182282</v>
      </c>
      <c r="G321" s="16">
        <f t="shared" si="175"/>
        <v>3.9334308822752022</v>
      </c>
      <c r="H321" s="16">
        <f t="shared" si="175"/>
        <v>4.9355192260929321</v>
      </c>
      <c r="I321" s="17">
        <f t="shared" si="175"/>
        <v>5.9407293404521511</v>
      </c>
      <c r="J321" s="15">
        <f>J307*$C293</f>
        <v>1.3286110553118007</v>
      </c>
      <c r="K321" s="16">
        <f t="shared" ref="K321:Q321" si="176">K307*$C293</f>
        <v>3.1137353879226799</v>
      </c>
      <c r="L321" s="16">
        <f t="shared" si="176"/>
        <v>4.7792217582069041</v>
      </c>
      <c r="M321" s="17">
        <f t="shared" si="176"/>
        <v>6.6792615019999655</v>
      </c>
      <c r="N321" s="15">
        <f t="shared" si="176"/>
        <v>1.7866985163257032</v>
      </c>
      <c r="O321" s="16">
        <f t="shared" si="176"/>
        <v>3.1137353879226799</v>
      </c>
      <c r="P321" s="16">
        <f t="shared" si="176"/>
        <v>4.7792217582069041</v>
      </c>
      <c r="Q321" s="17">
        <f t="shared" si="176"/>
        <v>6.0543105672146744</v>
      </c>
      <c r="R321" s="15">
        <f>R307*$D293</f>
        <v>1.8817153935613469</v>
      </c>
      <c r="S321" s="16">
        <f t="shared" ref="S321:Y321" si="177">S307*$D293</f>
        <v>3.6981582016175918</v>
      </c>
      <c r="T321" s="16">
        <f t="shared" si="177"/>
        <v>5.0558279801236976</v>
      </c>
      <c r="U321" s="17">
        <f t="shared" si="177"/>
        <v>6.8871902362953943</v>
      </c>
      <c r="V321" s="15">
        <f t="shared" si="177"/>
        <v>2.3979282983559753</v>
      </c>
      <c r="W321" s="16">
        <f t="shared" si="177"/>
        <v>3.6981582016175918</v>
      </c>
      <c r="X321" s="16">
        <f t="shared" si="177"/>
        <v>5.0558279801236976</v>
      </c>
      <c r="Y321" s="17">
        <f t="shared" si="177"/>
        <v>6.2773577945763064</v>
      </c>
      <c r="Z321" s="199">
        <f>B321+J321+R321</f>
        <v>5.2269902186745609</v>
      </c>
      <c r="AA321" s="161">
        <f t="shared" ref="AA321:AG330" si="178">C321+K321+S321</f>
        <v>10.745324471815474</v>
      </c>
      <c r="AB321" s="161">
        <f t="shared" si="178"/>
        <v>14.770568964423536</v>
      </c>
      <c r="AC321" s="200">
        <f t="shared" si="178"/>
        <v>20.014468791739354</v>
      </c>
      <c r="AD321" s="199">
        <f t="shared" si="178"/>
        <v>6.7819399051999074</v>
      </c>
      <c r="AE321" s="161">
        <f t="shared" si="178"/>
        <v>10.745324471815474</v>
      </c>
      <c r="AF321" s="161">
        <f t="shared" si="178"/>
        <v>14.770568964423536</v>
      </c>
      <c r="AG321" s="162">
        <f t="shared" si="178"/>
        <v>18.272397702243133</v>
      </c>
      <c r="AH321" s="142">
        <f>AH$318*AA321+(1-AH$318)*Z321</f>
        <v>9.6416576211872904</v>
      </c>
      <c r="AI321" s="194">
        <f>AH$318*AB321+(1-AH$318)*AC321</f>
        <v>15.819348929886699</v>
      </c>
      <c r="AJ321" s="142">
        <f>AH$318*AE321+(1-AH$318)*AD321</f>
        <v>9.9526475584923606</v>
      </c>
      <c r="AK321" s="194">
        <f>AH$318*AF321+(1-AH$318)*AG321</f>
        <v>15.470934711987454</v>
      </c>
      <c r="AL321" s="142">
        <f>(AH321+AI321)/2</f>
        <v>12.730503275536995</v>
      </c>
      <c r="AM321" s="194">
        <f>(AJ321+AK321)/2</f>
        <v>12.711791135239906</v>
      </c>
      <c r="AN321" s="195">
        <f>(AL321+AM321)/2</f>
        <v>12.721147205388451</v>
      </c>
    </row>
    <row r="322" spans="1:40" x14ac:dyDescent="0.25">
      <c r="A322" s="98" t="s">
        <v>14</v>
      </c>
      <c r="B322" s="135">
        <f t="shared" ref="B322:B330" si="179">B308*$B294</f>
        <v>0.36444972705411532</v>
      </c>
      <c r="C322" s="129">
        <f t="shared" ref="C322:I322" si="180">C308*$B294</f>
        <v>1.4057346614944446</v>
      </c>
      <c r="D322" s="129">
        <f t="shared" si="180"/>
        <v>2.8635335697109054</v>
      </c>
      <c r="E322" s="136">
        <f t="shared" si="180"/>
        <v>4.4254609713713995</v>
      </c>
      <c r="F322" s="135">
        <f t="shared" si="180"/>
        <v>0.57396887749907877</v>
      </c>
      <c r="G322" s="129">
        <f t="shared" si="180"/>
        <v>1.4057346614944446</v>
      </c>
      <c r="H322" s="129">
        <f t="shared" si="180"/>
        <v>2.8635335697109054</v>
      </c>
      <c r="I322" s="136">
        <f t="shared" si="180"/>
        <v>3.9221732530585744</v>
      </c>
      <c r="J322" s="135">
        <f t="shared" ref="J322:J330" si="181">J308*$C294</f>
        <v>0.35954516859454816</v>
      </c>
      <c r="K322" s="129">
        <f t="shared" ref="K322:Q322" si="182">K308*$C294</f>
        <v>1.7292410489547314</v>
      </c>
      <c r="L322" s="129">
        <f t="shared" si="182"/>
        <v>3.5098456934229696</v>
      </c>
      <c r="M322" s="136">
        <f t="shared" si="182"/>
        <v>5.2219655438731989</v>
      </c>
      <c r="N322" s="135">
        <f t="shared" si="182"/>
        <v>0.61169372838812752</v>
      </c>
      <c r="O322" s="129">
        <f t="shared" si="182"/>
        <v>1.7292410489547314</v>
      </c>
      <c r="P322" s="129">
        <f t="shared" si="182"/>
        <v>3.5098456934229696</v>
      </c>
      <c r="Q322" s="136">
        <f t="shared" si="182"/>
        <v>4.6787566095030817</v>
      </c>
      <c r="R322" s="135">
        <f t="shared" ref="R322:R330" si="183">R308*$D294</f>
        <v>0.22576457846974773</v>
      </c>
      <c r="S322" s="129">
        <f t="shared" ref="S322:Y322" si="184">S308*$D294</f>
        <v>1.3545874708184868</v>
      </c>
      <c r="T322" s="129">
        <f t="shared" si="184"/>
        <v>3.078607888223833</v>
      </c>
      <c r="U322" s="136">
        <f t="shared" si="184"/>
        <v>4.8138232434045394</v>
      </c>
      <c r="V322" s="135">
        <f t="shared" si="184"/>
        <v>0.38249370732477922</v>
      </c>
      <c r="W322" s="129">
        <f t="shared" si="184"/>
        <v>1.3545874708184868</v>
      </c>
      <c r="X322" s="129">
        <f t="shared" si="184"/>
        <v>3.078607888223833</v>
      </c>
      <c r="Y322" s="136">
        <f t="shared" si="184"/>
        <v>4.2652712924119287</v>
      </c>
      <c r="Z322" s="135">
        <f t="shared" ref="Z322:Z330" si="185">B322+J322+R322</f>
        <v>0.94975947411841122</v>
      </c>
      <c r="AA322" s="129">
        <f t="shared" si="178"/>
        <v>4.4895631812676626</v>
      </c>
      <c r="AB322" s="129">
        <f t="shared" si="178"/>
        <v>9.4519871513577094</v>
      </c>
      <c r="AC322" s="136">
        <f t="shared" si="178"/>
        <v>14.461249758649139</v>
      </c>
      <c r="AD322" s="135">
        <f t="shared" si="178"/>
        <v>1.5681563132119856</v>
      </c>
      <c r="AE322" s="129">
        <f t="shared" si="178"/>
        <v>4.4895631812676626</v>
      </c>
      <c r="AF322" s="129">
        <f t="shared" si="178"/>
        <v>9.4519871513577094</v>
      </c>
      <c r="AG322" s="137">
        <f t="shared" si="178"/>
        <v>12.866201154973584</v>
      </c>
      <c r="AH322" s="143">
        <f t="shared" ref="AH322:AH330" si="186">AH$318*AA322+(1-AH$318)*Z322</f>
        <v>3.7816024398378123</v>
      </c>
      <c r="AI322" s="196">
        <f t="shared" ref="AI322:AI330" si="187">AH$318*AB322+(1-AH$318)*AC322</f>
        <v>10.453839672815995</v>
      </c>
      <c r="AJ322" s="143">
        <f t="shared" ref="AJ322:AJ330" si="188">AH$318*AE322+(1-AH$318)*AD322</f>
        <v>3.9052818076565274</v>
      </c>
      <c r="AK322" s="196">
        <f t="shared" ref="AK322:AK330" si="189">AH$318*AF322+(1-AH$318)*AG322</f>
        <v>10.134829952080885</v>
      </c>
      <c r="AL322" s="143">
        <f t="shared" ref="AL322:AL330" si="190">(AH322+AI322)/2</f>
        <v>7.1177210563269036</v>
      </c>
      <c r="AM322" s="196">
        <f t="shared" ref="AM322:AM330" si="191">(AJ322+AK322)/2</f>
        <v>7.0200558798687061</v>
      </c>
      <c r="AN322" s="197">
        <f t="shared" ref="AN322:AN330" si="192">(AL322+AM322)/2</f>
        <v>7.0688884680978052</v>
      </c>
    </row>
    <row r="323" spans="1:40" x14ac:dyDescent="0.25">
      <c r="A323" s="98" t="s">
        <v>15</v>
      </c>
      <c r="B323" s="135">
        <f t="shared" si="179"/>
        <v>1.2644545587927061</v>
      </c>
      <c r="C323" s="129">
        <f t="shared" ref="C323:I323" si="193">C309*$B295</f>
        <v>2.3383748690002095</v>
      </c>
      <c r="D323" s="129">
        <f t="shared" si="193"/>
        <v>4.001219220289248</v>
      </c>
      <c r="E323" s="136">
        <f t="shared" si="193"/>
        <v>6.2876302033116742</v>
      </c>
      <c r="F323" s="135">
        <f t="shared" si="193"/>
        <v>1.5998578228311198</v>
      </c>
      <c r="G323" s="129">
        <f t="shared" si="193"/>
        <v>2.3383748690002095</v>
      </c>
      <c r="H323" s="129">
        <f t="shared" si="193"/>
        <v>4.001219220289248</v>
      </c>
      <c r="I323" s="136">
        <f t="shared" si="193"/>
        <v>5.5081719136449374</v>
      </c>
      <c r="J323" s="135">
        <f t="shared" si="181"/>
        <v>2.2373461633734113</v>
      </c>
      <c r="K323" s="129">
        <f t="shared" ref="K323:Q323" si="194">K309*$C295</f>
        <v>4.0839229625959872</v>
      </c>
      <c r="L323" s="129">
        <f t="shared" si="194"/>
        <v>5.6378058459251914</v>
      </c>
      <c r="M323" s="136">
        <f t="shared" si="194"/>
        <v>7.7571549856138411</v>
      </c>
      <c r="N323" s="135">
        <f t="shared" si="194"/>
        <v>2.7936178464587176</v>
      </c>
      <c r="O323" s="129">
        <f t="shared" si="194"/>
        <v>4.0839229625959872</v>
      </c>
      <c r="P323" s="129">
        <f t="shared" si="194"/>
        <v>5.6378058459251914</v>
      </c>
      <c r="Q323" s="136">
        <f t="shared" si="194"/>
        <v>7.0369134124730852</v>
      </c>
      <c r="R323" s="135">
        <f t="shared" si="183"/>
        <v>1.8266561326956419</v>
      </c>
      <c r="S323" s="129">
        <f t="shared" ref="S323:Y323" si="195">S309*$D295</f>
        <v>3.5775959490101177</v>
      </c>
      <c r="T323" s="129">
        <f t="shared" si="195"/>
        <v>5.2887846992244816</v>
      </c>
      <c r="U323" s="136">
        <f t="shared" si="195"/>
        <v>7.6889919285074608</v>
      </c>
      <c r="V323" s="135">
        <f t="shared" si="195"/>
        <v>2.3661348869114529</v>
      </c>
      <c r="W323" s="129">
        <f t="shared" si="195"/>
        <v>3.5775959490101177</v>
      </c>
      <c r="X323" s="129">
        <f t="shared" si="195"/>
        <v>5.2887846992244816</v>
      </c>
      <c r="Y323" s="136">
        <f t="shared" si="195"/>
        <v>6.8750415274099179</v>
      </c>
      <c r="Z323" s="135">
        <f t="shared" si="185"/>
        <v>5.3284568548617592</v>
      </c>
      <c r="AA323" s="129">
        <f t="shared" si="178"/>
        <v>9.999893780606314</v>
      </c>
      <c r="AB323" s="129">
        <f t="shared" si="178"/>
        <v>14.927809765438923</v>
      </c>
      <c r="AC323" s="136">
        <f t="shared" si="178"/>
        <v>21.733777117432979</v>
      </c>
      <c r="AD323" s="135">
        <f t="shared" si="178"/>
        <v>6.7596105562012898</v>
      </c>
      <c r="AE323" s="129">
        <f t="shared" si="178"/>
        <v>9.999893780606314</v>
      </c>
      <c r="AF323" s="129">
        <f t="shared" si="178"/>
        <v>14.927809765438923</v>
      </c>
      <c r="AG323" s="137">
        <f t="shared" si="178"/>
        <v>19.42012685352794</v>
      </c>
      <c r="AH323" s="143">
        <f t="shared" si="186"/>
        <v>9.0656063954574044</v>
      </c>
      <c r="AI323" s="196">
        <f t="shared" si="187"/>
        <v>16.289003235837733</v>
      </c>
      <c r="AJ323" s="143">
        <f t="shared" si="188"/>
        <v>9.3518371357253098</v>
      </c>
      <c r="AK323" s="196">
        <f t="shared" si="189"/>
        <v>15.826273183056726</v>
      </c>
      <c r="AL323" s="143">
        <f t="shared" si="190"/>
        <v>12.677304815647569</v>
      </c>
      <c r="AM323" s="196">
        <f t="shared" si="191"/>
        <v>12.589055159391018</v>
      </c>
      <c r="AN323" s="197">
        <f t="shared" si="192"/>
        <v>12.633179987519293</v>
      </c>
    </row>
    <row r="324" spans="1:40" x14ac:dyDescent="0.25">
      <c r="A324" s="98" t="s">
        <v>16</v>
      </c>
      <c r="B324" s="135">
        <f t="shared" si="179"/>
        <v>1.8021123638742451</v>
      </c>
      <c r="C324" s="129">
        <f t="shared" ref="C324:I324" si="196">C310*$B296</f>
        <v>3.3729802208796702</v>
      </c>
      <c r="D324" s="129">
        <f t="shared" si="196"/>
        <v>4.6392432446992729</v>
      </c>
      <c r="E324" s="136">
        <f t="shared" si="196"/>
        <v>6.4780357717320198</v>
      </c>
      <c r="F324" s="135">
        <f t="shared" si="196"/>
        <v>2.2805492746373188</v>
      </c>
      <c r="G324" s="129">
        <f t="shared" si="196"/>
        <v>3.3729802208796702</v>
      </c>
      <c r="H324" s="129">
        <f t="shared" si="196"/>
        <v>4.6392432446992729</v>
      </c>
      <c r="I324" s="136">
        <f t="shared" si="196"/>
        <v>5.8560677877400238</v>
      </c>
      <c r="J324" s="135">
        <f t="shared" si="181"/>
        <v>1.9324602666717974</v>
      </c>
      <c r="K324" s="129">
        <f t="shared" ref="K324:Q324" si="197">K310*$C296</f>
        <v>3.7234059491284106</v>
      </c>
      <c r="L324" s="129">
        <f t="shared" si="197"/>
        <v>5.2140262361950196</v>
      </c>
      <c r="M324" s="136">
        <f t="shared" si="197"/>
        <v>7.0254129141493831</v>
      </c>
      <c r="N324" s="135">
        <f t="shared" si="197"/>
        <v>2.3900240889675599</v>
      </c>
      <c r="O324" s="129">
        <f t="shared" si="197"/>
        <v>3.7234059491284106</v>
      </c>
      <c r="P324" s="129">
        <f t="shared" si="197"/>
        <v>5.2140262361950196</v>
      </c>
      <c r="Q324" s="136">
        <f t="shared" si="197"/>
        <v>6.4247621233693764</v>
      </c>
      <c r="R324" s="135">
        <f t="shared" si="183"/>
        <v>0.8046106264670797</v>
      </c>
      <c r="S324" s="129">
        <f t="shared" ref="S324:Y324" si="198">S310*$D296</f>
        <v>2.2048897121637738</v>
      </c>
      <c r="T324" s="129">
        <f t="shared" si="198"/>
        <v>3.9424087870858506</v>
      </c>
      <c r="U324" s="136">
        <f t="shared" si="198"/>
        <v>5.9438548100973572</v>
      </c>
      <c r="V324" s="135">
        <f t="shared" si="198"/>
        <v>1.1455162677492594</v>
      </c>
      <c r="W324" s="129">
        <f t="shared" si="198"/>
        <v>2.2048897121637738</v>
      </c>
      <c r="X324" s="129">
        <f t="shared" si="198"/>
        <v>3.9424087870858506</v>
      </c>
      <c r="Y324" s="136">
        <f t="shared" si="198"/>
        <v>5.2895359179589798</v>
      </c>
      <c r="Z324" s="135">
        <f t="shared" si="185"/>
        <v>4.5391832570131223</v>
      </c>
      <c r="AA324" s="129">
        <f t="shared" si="178"/>
        <v>9.3012758821718542</v>
      </c>
      <c r="AB324" s="129">
        <f t="shared" si="178"/>
        <v>13.795678267980144</v>
      </c>
      <c r="AC324" s="136">
        <f t="shared" si="178"/>
        <v>19.447303495978758</v>
      </c>
      <c r="AD324" s="135">
        <f t="shared" si="178"/>
        <v>5.8160896313541386</v>
      </c>
      <c r="AE324" s="129">
        <f t="shared" si="178"/>
        <v>9.3012758821718542</v>
      </c>
      <c r="AF324" s="129">
        <f t="shared" si="178"/>
        <v>13.795678267980144</v>
      </c>
      <c r="AG324" s="137">
        <f t="shared" si="178"/>
        <v>17.570365829068379</v>
      </c>
      <c r="AH324" s="143">
        <f t="shared" si="186"/>
        <v>8.3488573571401083</v>
      </c>
      <c r="AI324" s="196">
        <f t="shared" si="187"/>
        <v>14.926003313579866</v>
      </c>
      <c r="AJ324" s="143">
        <f t="shared" si="188"/>
        <v>8.6042386320083111</v>
      </c>
      <c r="AK324" s="196">
        <f t="shared" si="189"/>
        <v>14.550615780197791</v>
      </c>
      <c r="AL324" s="143">
        <f t="shared" si="190"/>
        <v>11.637430335359987</v>
      </c>
      <c r="AM324" s="196">
        <f t="shared" si="191"/>
        <v>11.577427206103051</v>
      </c>
      <c r="AN324" s="197">
        <f t="shared" si="192"/>
        <v>11.60742877073152</v>
      </c>
    </row>
    <row r="325" spans="1:40" x14ac:dyDescent="0.25">
      <c r="A325" s="98" t="s">
        <v>18</v>
      </c>
      <c r="B325" s="135">
        <f t="shared" si="179"/>
        <v>1.4264526155571577</v>
      </c>
      <c r="C325" s="129">
        <f t="shared" ref="C325:I325" si="199">C311*$B297</f>
        <v>2.6685883201153575</v>
      </c>
      <c r="D325" s="129">
        <f t="shared" si="199"/>
        <v>4.2937826484018267</v>
      </c>
      <c r="E325" s="136">
        <f t="shared" si="199"/>
        <v>6.5103938476327814</v>
      </c>
      <c r="F325" s="135">
        <f t="shared" si="199"/>
        <v>1.8159222622766966</v>
      </c>
      <c r="G325" s="129">
        <f t="shared" si="199"/>
        <v>2.6685883201153575</v>
      </c>
      <c r="H325" s="129">
        <f t="shared" si="199"/>
        <v>4.2937826484018267</v>
      </c>
      <c r="I325" s="136">
        <f t="shared" si="199"/>
        <v>5.7570986461587763</v>
      </c>
      <c r="J325" s="135">
        <f t="shared" si="181"/>
        <v>2.2338830409356727</v>
      </c>
      <c r="K325" s="129">
        <f t="shared" ref="K325:Q325" si="200">K311*$C297</f>
        <v>4.0776015781462789</v>
      </c>
      <c r="L325" s="129">
        <f t="shared" si="200"/>
        <v>5.6290792517824233</v>
      </c>
      <c r="M325" s="136">
        <f t="shared" si="200"/>
        <v>7.7451479131619001</v>
      </c>
      <c r="N325" s="135">
        <f t="shared" si="200"/>
        <v>2.7892936874148835</v>
      </c>
      <c r="O325" s="129">
        <f t="shared" si="200"/>
        <v>4.0776015781462789</v>
      </c>
      <c r="P325" s="129">
        <f t="shared" si="200"/>
        <v>5.6290792517824233</v>
      </c>
      <c r="Q325" s="136">
        <f t="shared" si="200"/>
        <v>7.0260211808058957</v>
      </c>
      <c r="R325" s="135">
        <f t="shared" si="183"/>
        <v>0.95973431066250092</v>
      </c>
      <c r="S325" s="129">
        <f t="shared" ref="S325:Y325" si="201">S311*$D297</f>
        <v>2.6663435712569092</v>
      </c>
      <c r="T325" s="129">
        <f t="shared" si="201"/>
        <v>4.2310465913642554</v>
      </c>
      <c r="U325" s="136">
        <f t="shared" si="201"/>
        <v>6.0552886565729391</v>
      </c>
      <c r="V325" s="135">
        <f t="shared" si="201"/>
        <v>1.385453032123688</v>
      </c>
      <c r="W325" s="129">
        <f t="shared" si="201"/>
        <v>2.6663435712569092</v>
      </c>
      <c r="X325" s="129">
        <f t="shared" si="201"/>
        <v>4.2310465913642554</v>
      </c>
      <c r="Y325" s="136">
        <f t="shared" si="201"/>
        <v>5.463390258751903</v>
      </c>
      <c r="Z325" s="135">
        <f t="shared" si="185"/>
        <v>4.6200699671553318</v>
      </c>
      <c r="AA325" s="129">
        <f t="shared" si="178"/>
        <v>9.4125334695185465</v>
      </c>
      <c r="AB325" s="129">
        <f t="shared" si="178"/>
        <v>14.153908491548506</v>
      </c>
      <c r="AC325" s="136">
        <f t="shared" si="178"/>
        <v>20.310830417367619</v>
      </c>
      <c r="AD325" s="135">
        <f t="shared" si="178"/>
        <v>5.9906689818152676</v>
      </c>
      <c r="AE325" s="129">
        <f t="shared" si="178"/>
        <v>9.4125334695185465</v>
      </c>
      <c r="AF325" s="129">
        <f t="shared" si="178"/>
        <v>14.153908491548506</v>
      </c>
      <c r="AG325" s="137">
        <f t="shared" si="178"/>
        <v>18.246510085716576</v>
      </c>
      <c r="AH325" s="143">
        <f t="shared" si="186"/>
        <v>8.4540407690459034</v>
      </c>
      <c r="AI325" s="196">
        <f t="shared" si="187"/>
        <v>15.385292876712329</v>
      </c>
      <c r="AJ325" s="143">
        <f t="shared" si="188"/>
        <v>8.7281605719778916</v>
      </c>
      <c r="AK325" s="196">
        <f t="shared" si="189"/>
        <v>14.972428810382121</v>
      </c>
      <c r="AL325" s="143">
        <f t="shared" si="190"/>
        <v>11.919666822879115</v>
      </c>
      <c r="AM325" s="196">
        <f t="shared" si="191"/>
        <v>11.850294691180007</v>
      </c>
      <c r="AN325" s="197">
        <f t="shared" si="192"/>
        <v>11.884980757029561</v>
      </c>
    </row>
    <row r="326" spans="1:40" x14ac:dyDescent="0.25">
      <c r="A326" s="98" t="s">
        <v>19</v>
      </c>
      <c r="B326" s="135">
        <f t="shared" si="179"/>
        <v>1.4429493725035853</v>
      </c>
      <c r="C326" s="129">
        <f t="shared" ref="C326:I326" si="202">C312*$B298</f>
        <v>2.9179999546290518</v>
      </c>
      <c r="D326" s="129">
        <f t="shared" si="202"/>
        <v>4.0864839848655485</v>
      </c>
      <c r="E326" s="136">
        <f t="shared" si="202"/>
        <v>5.5663497484342974</v>
      </c>
      <c r="F326" s="135">
        <f t="shared" si="202"/>
        <v>1.8089031621930369</v>
      </c>
      <c r="G326" s="129">
        <f t="shared" si="202"/>
        <v>2.9179999546290518</v>
      </c>
      <c r="H326" s="129">
        <f t="shared" si="202"/>
        <v>4.0864839848655485</v>
      </c>
      <c r="I326" s="136">
        <f t="shared" si="202"/>
        <v>5.0816214831438824</v>
      </c>
      <c r="J326" s="135">
        <f t="shared" si="181"/>
        <v>1.9068637935783905</v>
      </c>
      <c r="K326" s="129">
        <f t="shared" ref="K326:Q326" si="203">K312*$C298</f>
        <v>3.6740874395391612</v>
      </c>
      <c r="L326" s="129">
        <f t="shared" si="203"/>
        <v>5.1449636611114249</v>
      </c>
      <c r="M326" s="136">
        <f t="shared" si="203"/>
        <v>6.9323575506169641</v>
      </c>
      <c r="N326" s="135">
        <f t="shared" si="203"/>
        <v>2.3583669375420282</v>
      </c>
      <c r="O326" s="129">
        <f t="shared" si="203"/>
        <v>3.6740874395391612</v>
      </c>
      <c r="P326" s="129">
        <f t="shared" si="203"/>
        <v>5.1449636611114249</v>
      </c>
      <c r="Q326" s="136">
        <f t="shared" si="203"/>
        <v>6.339662701839953</v>
      </c>
      <c r="R326" s="135">
        <f t="shared" si="183"/>
        <v>0.42582131664870737</v>
      </c>
      <c r="S326" s="129">
        <f t="shared" ref="S326:Y326" si="204">S312*$D298</f>
        <v>1.6424536499307283</v>
      </c>
      <c r="T326" s="129">
        <f t="shared" si="204"/>
        <v>3.3457389165255575</v>
      </c>
      <c r="U326" s="136">
        <f t="shared" si="204"/>
        <v>5.1706874164485885</v>
      </c>
      <c r="V326" s="135">
        <f t="shared" si="204"/>
        <v>0.67062248916363543</v>
      </c>
      <c r="W326" s="129">
        <f t="shared" si="204"/>
        <v>1.6424536499307283</v>
      </c>
      <c r="X326" s="129">
        <f t="shared" si="204"/>
        <v>3.3457389165255575</v>
      </c>
      <c r="Y326" s="136">
        <f t="shared" si="204"/>
        <v>4.5826484553622802</v>
      </c>
      <c r="Z326" s="135">
        <f t="shared" si="185"/>
        <v>3.7756344827306831</v>
      </c>
      <c r="AA326" s="129">
        <f t="shared" si="178"/>
        <v>8.2345410440989415</v>
      </c>
      <c r="AB326" s="129">
        <f t="shared" si="178"/>
        <v>12.577186562502533</v>
      </c>
      <c r="AC326" s="136">
        <f t="shared" si="178"/>
        <v>17.669394715499848</v>
      </c>
      <c r="AD326" s="135">
        <f t="shared" si="178"/>
        <v>4.8378925888987006</v>
      </c>
      <c r="AE326" s="129">
        <f t="shared" si="178"/>
        <v>8.2345410440989415</v>
      </c>
      <c r="AF326" s="129">
        <f t="shared" si="178"/>
        <v>12.577186562502533</v>
      </c>
      <c r="AG326" s="137">
        <f t="shared" si="178"/>
        <v>16.003932640346115</v>
      </c>
      <c r="AH326" s="143">
        <f t="shared" si="186"/>
        <v>7.3427597318252902</v>
      </c>
      <c r="AI326" s="196">
        <f t="shared" si="187"/>
        <v>13.595628193101996</v>
      </c>
      <c r="AJ326" s="143">
        <f t="shared" si="188"/>
        <v>7.5552113530588931</v>
      </c>
      <c r="AK326" s="196">
        <f t="shared" si="189"/>
        <v>13.26253577807125</v>
      </c>
      <c r="AL326" s="143">
        <f t="shared" si="190"/>
        <v>10.469193962463644</v>
      </c>
      <c r="AM326" s="196">
        <f t="shared" si="191"/>
        <v>10.408873565565072</v>
      </c>
      <c r="AN326" s="197">
        <f t="shared" si="192"/>
        <v>10.439033764014358</v>
      </c>
    </row>
    <row r="327" spans="1:40" x14ac:dyDescent="0.25">
      <c r="A327" s="98" t="s">
        <v>20</v>
      </c>
      <c r="B327" s="135">
        <f t="shared" si="179"/>
        <v>1.4337159425866783</v>
      </c>
      <c r="C327" s="129">
        <f t="shared" ref="C327:I327" si="205">C313*$B299</f>
        <v>2.8993276792242275</v>
      </c>
      <c r="D327" s="129">
        <f t="shared" si="205"/>
        <v>4.0603345826759538</v>
      </c>
      <c r="E327" s="136">
        <f t="shared" si="205"/>
        <v>5.5307306884211336</v>
      </c>
      <c r="F327" s="135">
        <f t="shared" si="205"/>
        <v>1.7973279947666136</v>
      </c>
      <c r="G327" s="129">
        <f t="shared" si="205"/>
        <v>2.8993276792242275</v>
      </c>
      <c r="H327" s="129">
        <f t="shared" si="205"/>
        <v>4.0603345826759538</v>
      </c>
      <c r="I327" s="136">
        <f t="shared" si="205"/>
        <v>5.049104198252973</v>
      </c>
      <c r="J327" s="135">
        <f t="shared" si="181"/>
        <v>1.8975344768538118</v>
      </c>
      <c r="K327" s="129">
        <f t="shared" ref="K327:Q327" si="206">K313*$C299</f>
        <v>3.6561119944587688</v>
      </c>
      <c r="L327" s="129">
        <f t="shared" si="206"/>
        <v>5.1197919652133761</v>
      </c>
      <c r="M327" s="136">
        <f t="shared" si="206"/>
        <v>6.8984410435987238</v>
      </c>
      <c r="N327" s="135">
        <f t="shared" si="206"/>
        <v>2.3468286450917764</v>
      </c>
      <c r="O327" s="129">
        <f t="shared" si="206"/>
        <v>3.6561119944587688</v>
      </c>
      <c r="P327" s="129">
        <f t="shared" si="206"/>
        <v>5.1197919652133761</v>
      </c>
      <c r="Q327" s="136">
        <f t="shared" si="206"/>
        <v>6.3086459498980263</v>
      </c>
      <c r="R327" s="135">
        <f t="shared" si="183"/>
        <v>0.81708615269173068</v>
      </c>
      <c r="S327" s="129">
        <f t="shared" ref="S327:Y327" si="207">S313*$D299</f>
        <v>2.239076632547043</v>
      </c>
      <c r="T327" s="129">
        <f t="shared" si="207"/>
        <v>4.0035360237811224</v>
      </c>
      <c r="U327" s="136">
        <f t="shared" si="207"/>
        <v>6.0360145630507578</v>
      </c>
      <c r="V327" s="135">
        <f t="shared" si="207"/>
        <v>1.1632775522376577</v>
      </c>
      <c r="W327" s="129">
        <f t="shared" si="207"/>
        <v>2.239076632547043</v>
      </c>
      <c r="X327" s="129">
        <f t="shared" si="207"/>
        <v>4.0035360237811224</v>
      </c>
      <c r="Y327" s="136">
        <f t="shared" si="207"/>
        <v>5.3715504252126083</v>
      </c>
      <c r="Z327" s="135">
        <f t="shared" si="185"/>
        <v>4.1483365721322212</v>
      </c>
      <c r="AA327" s="129">
        <f t="shared" si="178"/>
        <v>8.7945163062300402</v>
      </c>
      <c r="AB327" s="129">
        <f t="shared" si="178"/>
        <v>13.183662571670453</v>
      </c>
      <c r="AC327" s="136">
        <f t="shared" si="178"/>
        <v>18.465186295070616</v>
      </c>
      <c r="AD327" s="135">
        <f t="shared" si="178"/>
        <v>5.3074341920960482</v>
      </c>
      <c r="AE327" s="129">
        <f t="shared" si="178"/>
        <v>8.7945163062300402</v>
      </c>
      <c r="AF327" s="129">
        <f t="shared" si="178"/>
        <v>13.183662571670453</v>
      </c>
      <c r="AG327" s="137">
        <f t="shared" si="178"/>
        <v>16.729300573363606</v>
      </c>
      <c r="AH327" s="143">
        <f>AH$318*AA327+(1-AH$318)*Z327</f>
        <v>7.8652803594104759</v>
      </c>
      <c r="AI327" s="196">
        <f t="shared" si="187"/>
        <v>14.239967316350485</v>
      </c>
      <c r="AJ327" s="143">
        <f t="shared" si="188"/>
        <v>8.0970998834032422</v>
      </c>
      <c r="AK327" s="196">
        <f t="shared" si="189"/>
        <v>13.892790172009082</v>
      </c>
      <c r="AL327" s="143">
        <f t="shared" si="190"/>
        <v>11.05262383788048</v>
      </c>
      <c r="AM327" s="196">
        <f t="shared" si="191"/>
        <v>10.994945027706162</v>
      </c>
      <c r="AN327" s="197">
        <f t="shared" si="192"/>
        <v>11.02378443279332</v>
      </c>
    </row>
    <row r="328" spans="1:40" x14ac:dyDescent="0.25">
      <c r="A328" s="98" t="s">
        <v>21</v>
      </c>
      <c r="B328" s="135">
        <f t="shared" si="179"/>
        <v>1.653268887842809</v>
      </c>
      <c r="C328" s="129">
        <f t="shared" ref="C328:I328" si="208">C314*$B300</f>
        <v>3.2531051310214973</v>
      </c>
      <c r="D328" s="129">
        <f t="shared" si="208"/>
        <v>4.607779828094217</v>
      </c>
      <c r="E328" s="136">
        <f t="shared" si="208"/>
        <v>6.4920663266907264</v>
      </c>
      <c r="F328" s="135">
        <f t="shared" si="208"/>
        <v>2.1483066251721668</v>
      </c>
      <c r="G328" s="129">
        <f t="shared" si="208"/>
        <v>3.2531051310214973</v>
      </c>
      <c r="H328" s="129">
        <f t="shared" si="208"/>
        <v>4.607779828094217</v>
      </c>
      <c r="I328" s="136">
        <f t="shared" si="208"/>
        <v>5.8555892358386936</v>
      </c>
      <c r="J328" s="135">
        <f t="shared" si="181"/>
        <v>1.3269312760430285</v>
      </c>
      <c r="K328" s="129">
        <f t="shared" ref="K328:Q328" si="209">K314*$C300</f>
        <v>3.1097986540439702</v>
      </c>
      <c r="L328" s="129">
        <f t="shared" si="209"/>
        <v>4.7731793294628373</v>
      </c>
      <c r="M328" s="136">
        <f t="shared" si="209"/>
        <v>6.6708168296807715</v>
      </c>
      <c r="N328" s="135">
        <f t="shared" si="209"/>
        <v>1.7844395714559682</v>
      </c>
      <c r="O328" s="129">
        <f t="shared" si="209"/>
        <v>3.1097986540439702</v>
      </c>
      <c r="P328" s="129">
        <f t="shared" si="209"/>
        <v>4.7731793294628373</v>
      </c>
      <c r="Q328" s="136">
        <f t="shared" si="209"/>
        <v>6.0466560280349384</v>
      </c>
      <c r="R328" s="135">
        <f t="shared" si="183"/>
        <v>1.6687760970762073</v>
      </c>
      <c r="S328" s="129">
        <f t="shared" ref="S328:Y328" si="210">S314*$D300</f>
        <v>3.3746773576023852</v>
      </c>
      <c r="T328" s="129">
        <f t="shared" si="210"/>
        <v>4.7260333071813383</v>
      </c>
      <c r="U328" s="136">
        <f t="shared" si="210"/>
        <v>6.4375033422250114</v>
      </c>
      <c r="V328" s="135">
        <f t="shared" si="210"/>
        <v>2.0920029604058787</v>
      </c>
      <c r="W328" s="129">
        <f t="shared" si="210"/>
        <v>3.3746773576023852</v>
      </c>
      <c r="X328" s="129">
        <f t="shared" si="210"/>
        <v>4.7260333071813383</v>
      </c>
      <c r="Y328" s="136">
        <f t="shared" si="210"/>
        <v>5.8769133741304458</v>
      </c>
      <c r="Z328" s="135">
        <f t="shared" si="185"/>
        <v>4.6489762609620442</v>
      </c>
      <c r="AA328" s="129">
        <f t="shared" si="178"/>
        <v>9.7375811426678531</v>
      </c>
      <c r="AB328" s="129">
        <f t="shared" si="178"/>
        <v>14.106992464738394</v>
      </c>
      <c r="AC328" s="136">
        <f t="shared" si="178"/>
        <v>19.60038649859651</v>
      </c>
      <c r="AD328" s="135">
        <f t="shared" si="178"/>
        <v>6.0247491570340141</v>
      </c>
      <c r="AE328" s="129">
        <f t="shared" si="178"/>
        <v>9.7375811426678531</v>
      </c>
      <c r="AF328" s="129">
        <f t="shared" si="178"/>
        <v>14.106992464738394</v>
      </c>
      <c r="AG328" s="137">
        <f t="shared" si="178"/>
        <v>17.779158638004077</v>
      </c>
      <c r="AH328" s="143">
        <f t="shared" si="186"/>
        <v>8.7198601663266917</v>
      </c>
      <c r="AI328" s="196">
        <f t="shared" si="187"/>
        <v>15.205671271510017</v>
      </c>
      <c r="AJ328" s="143">
        <f t="shared" si="188"/>
        <v>8.995014745541086</v>
      </c>
      <c r="AK328" s="196">
        <f t="shared" si="189"/>
        <v>14.841425699391531</v>
      </c>
      <c r="AL328" s="143">
        <f t="shared" si="190"/>
        <v>11.962765718918355</v>
      </c>
      <c r="AM328" s="196">
        <f t="shared" si="191"/>
        <v>11.918220222466308</v>
      </c>
      <c r="AN328" s="197">
        <f t="shared" si="192"/>
        <v>11.940492970692333</v>
      </c>
    </row>
    <row r="329" spans="1:40" x14ac:dyDescent="0.25">
      <c r="A329" s="98" t="s">
        <v>23</v>
      </c>
      <c r="B329" s="135">
        <f t="shared" si="179"/>
        <v>1.4116437973380396</v>
      </c>
      <c r="C329" s="129">
        <f t="shared" ref="C329:I329" si="211">C315*$B301</f>
        <v>2.6408841826604901</v>
      </c>
      <c r="D329" s="129">
        <f t="shared" si="211"/>
        <v>4.249206441650121</v>
      </c>
      <c r="E329" s="136">
        <f t="shared" si="211"/>
        <v>6.4428057357158615</v>
      </c>
      <c r="F329" s="135">
        <f t="shared" si="211"/>
        <v>1.7970701375101112</v>
      </c>
      <c r="G329" s="129">
        <f t="shared" si="211"/>
        <v>2.6408841826604901</v>
      </c>
      <c r="H329" s="129">
        <f t="shared" si="211"/>
        <v>4.249206441650121</v>
      </c>
      <c r="I329" s="136">
        <f t="shared" si="211"/>
        <v>5.6973309213912788</v>
      </c>
      <c r="J329" s="135">
        <f t="shared" si="181"/>
        <v>1.5744599529377163</v>
      </c>
      <c r="K329" s="129">
        <f t="shared" ref="K329:Q329" si="212">K315*$C301</f>
        <v>3.4375969041841317</v>
      </c>
      <c r="L329" s="129">
        <f t="shared" si="212"/>
        <v>4.9168714684903296</v>
      </c>
      <c r="M329" s="136">
        <f t="shared" si="212"/>
        <v>6.6208459666151924</v>
      </c>
      <c r="N329" s="135">
        <f t="shared" si="212"/>
        <v>2.0519473123023748</v>
      </c>
      <c r="O329" s="129">
        <f t="shared" si="212"/>
        <v>3.4375969041841317</v>
      </c>
      <c r="P329" s="129">
        <f t="shared" si="212"/>
        <v>4.9168714684903296</v>
      </c>
      <c r="Q329" s="136">
        <f t="shared" si="212"/>
        <v>6.0637773806897579</v>
      </c>
      <c r="R329" s="135">
        <f t="shared" si="183"/>
        <v>0.95268212368556504</v>
      </c>
      <c r="S329" s="129">
        <f t="shared" ref="S329:Y329" si="213">S315*$D301</f>
        <v>2.646751114052504</v>
      </c>
      <c r="T329" s="129">
        <f t="shared" si="213"/>
        <v>4.1999565997499815</v>
      </c>
      <c r="U329" s="136">
        <f t="shared" si="213"/>
        <v>6.0107940216192368</v>
      </c>
      <c r="V329" s="135">
        <f t="shared" si="213"/>
        <v>1.3752726376939477</v>
      </c>
      <c r="W329" s="129">
        <f t="shared" si="213"/>
        <v>2.646751114052504</v>
      </c>
      <c r="X329" s="129">
        <f t="shared" si="213"/>
        <v>4.1999565997499815</v>
      </c>
      <c r="Y329" s="136">
        <f t="shared" si="213"/>
        <v>5.4232449297742482</v>
      </c>
      <c r="Z329" s="135">
        <f t="shared" si="185"/>
        <v>3.9387858739613213</v>
      </c>
      <c r="AA329" s="129">
        <f t="shared" si="178"/>
        <v>8.7252322008971266</v>
      </c>
      <c r="AB329" s="129">
        <f t="shared" si="178"/>
        <v>13.366034509890433</v>
      </c>
      <c r="AC329" s="136">
        <f t="shared" si="178"/>
        <v>19.074445723950291</v>
      </c>
      <c r="AD329" s="135">
        <f t="shared" si="178"/>
        <v>5.224290087506434</v>
      </c>
      <c r="AE329" s="129">
        <f t="shared" si="178"/>
        <v>8.7252322008971266</v>
      </c>
      <c r="AF329" s="129">
        <f t="shared" si="178"/>
        <v>13.366034509890433</v>
      </c>
      <c r="AG329" s="137">
        <f t="shared" si="178"/>
        <v>17.184353231855287</v>
      </c>
      <c r="AH329" s="143">
        <f t="shared" si="186"/>
        <v>7.7679429355099661</v>
      </c>
      <c r="AI329" s="196">
        <f t="shared" si="187"/>
        <v>14.507716752702404</v>
      </c>
      <c r="AJ329" s="143">
        <f t="shared" si="188"/>
        <v>8.0250437782189881</v>
      </c>
      <c r="AK329" s="196">
        <f t="shared" si="189"/>
        <v>14.129698254283404</v>
      </c>
      <c r="AL329" s="143">
        <f t="shared" si="190"/>
        <v>11.137829844106186</v>
      </c>
      <c r="AM329" s="196">
        <f t="shared" si="191"/>
        <v>11.077371016251195</v>
      </c>
      <c r="AN329" s="197">
        <f t="shared" si="192"/>
        <v>11.107600430178691</v>
      </c>
    </row>
    <row r="330" spans="1:40" ht="15.75" thickBot="1" x14ac:dyDescent="0.3">
      <c r="A330" s="99" t="s">
        <v>24</v>
      </c>
      <c r="B330" s="138">
        <f t="shared" si="179"/>
        <v>0.6822024212848703</v>
      </c>
      <c r="C330" s="139">
        <f t="shared" ref="C330:I330" si="214">C316*$B302</f>
        <v>1.8694521931792687</v>
      </c>
      <c r="D330" s="139">
        <f t="shared" si="214"/>
        <v>3.3426364651110609</v>
      </c>
      <c r="E330" s="140">
        <f t="shared" si="214"/>
        <v>5.0395955631590752</v>
      </c>
      <c r="F330" s="138">
        <f t="shared" si="214"/>
        <v>0.9712449050183235</v>
      </c>
      <c r="G330" s="139">
        <f t="shared" si="214"/>
        <v>1.8694521931792687</v>
      </c>
      <c r="H330" s="139">
        <f t="shared" si="214"/>
        <v>3.3426364651110609</v>
      </c>
      <c r="I330" s="140">
        <f t="shared" si="214"/>
        <v>4.4848204734126105</v>
      </c>
      <c r="J330" s="138">
        <f t="shared" si="181"/>
        <v>1.5707283580136115</v>
      </c>
      <c r="K330" s="139">
        <f t="shared" ref="K330:Q330" si="215">K316*$C302</f>
        <v>3.4294495269613341</v>
      </c>
      <c r="L330" s="139">
        <f t="shared" si="215"/>
        <v>4.905218093261535</v>
      </c>
      <c r="M330" s="140">
        <f t="shared" si="215"/>
        <v>6.6051540367212613</v>
      </c>
      <c r="N330" s="138">
        <f t="shared" si="215"/>
        <v>2.0470840344776002</v>
      </c>
      <c r="O330" s="139">
        <f t="shared" si="215"/>
        <v>3.4294495269613341</v>
      </c>
      <c r="P330" s="139">
        <f t="shared" si="215"/>
        <v>4.905218093261535</v>
      </c>
      <c r="Q330" s="140">
        <f t="shared" si="215"/>
        <v>6.0494057475132754</v>
      </c>
      <c r="R330" s="138">
        <f t="shared" si="183"/>
        <v>1.594560975244933</v>
      </c>
      <c r="S330" s="139">
        <f t="shared" ref="S330:Y330" si="216">S316*$D302</f>
        <v>3.3213722683419342</v>
      </c>
      <c r="T330" s="139">
        <f t="shared" si="216"/>
        <v>4.9045975020566903</v>
      </c>
      <c r="U330" s="140">
        <f t="shared" si="216"/>
        <v>6.9771489118240968</v>
      </c>
      <c r="V330" s="138">
        <f t="shared" si="216"/>
        <v>2.0891771640116663</v>
      </c>
      <c r="W330" s="139">
        <f t="shared" si="216"/>
        <v>3.3213722683419342</v>
      </c>
      <c r="X330" s="139">
        <f t="shared" si="216"/>
        <v>4.9045975020566903</v>
      </c>
      <c r="Y330" s="140">
        <f t="shared" si="216"/>
        <v>6.2837793882282549</v>
      </c>
      <c r="Z330" s="138">
        <f t="shared" si="185"/>
        <v>3.8474917545434151</v>
      </c>
      <c r="AA330" s="139">
        <f t="shared" si="178"/>
        <v>8.6202739884825377</v>
      </c>
      <c r="AB330" s="139">
        <f t="shared" si="178"/>
        <v>13.152452060429287</v>
      </c>
      <c r="AC330" s="140">
        <f t="shared" si="178"/>
        <v>18.621898511704433</v>
      </c>
      <c r="AD330" s="138">
        <f t="shared" si="178"/>
        <v>5.1075061035075899</v>
      </c>
      <c r="AE330" s="139">
        <f t="shared" si="178"/>
        <v>8.6202739884825377</v>
      </c>
      <c r="AF330" s="139">
        <f t="shared" si="178"/>
        <v>13.152452060429287</v>
      </c>
      <c r="AG330" s="141">
        <f t="shared" si="178"/>
        <v>16.818005609154142</v>
      </c>
      <c r="AH330" s="144">
        <f t="shared" si="186"/>
        <v>7.6657175416947139</v>
      </c>
      <c r="AI330" s="145">
        <f t="shared" si="187"/>
        <v>14.246341350684315</v>
      </c>
      <c r="AJ330" s="144">
        <f t="shared" si="188"/>
        <v>7.917720411487549</v>
      </c>
      <c r="AK330" s="145">
        <f t="shared" si="189"/>
        <v>13.885562770174257</v>
      </c>
      <c r="AL330" s="144">
        <f t="shared" si="190"/>
        <v>10.956029446189515</v>
      </c>
      <c r="AM330" s="145">
        <f t="shared" si="191"/>
        <v>10.901641590830902</v>
      </c>
      <c r="AN330" s="198">
        <f t="shared" si="192"/>
        <v>10.928835518510208</v>
      </c>
    </row>
    <row r="332" spans="1:40" ht="15.75" thickBot="1" x14ac:dyDescent="0.3">
      <c r="A332" s="1" t="s">
        <v>179</v>
      </c>
    </row>
    <row r="333" spans="1:40" x14ac:dyDescent="0.25">
      <c r="A333" s="233" t="s">
        <v>27</v>
      </c>
      <c r="B333" s="233" t="s">
        <v>167</v>
      </c>
      <c r="C333" s="233" t="s">
        <v>252</v>
      </c>
      <c r="D333" s="233" t="s">
        <v>202</v>
      </c>
    </row>
    <row r="334" spans="1:40" ht="15.75" thickBot="1" x14ac:dyDescent="0.3">
      <c r="A334" s="249"/>
      <c r="B334" s="249"/>
      <c r="C334" s="249" t="s">
        <v>248</v>
      </c>
      <c r="D334" s="249" t="s">
        <v>202</v>
      </c>
    </row>
    <row r="335" spans="1:40" x14ac:dyDescent="0.25">
      <c r="A335" s="158" t="s">
        <v>25</v>
      </c>
      <c r="B335" s="182">
        <v>12.721147205388451</v>
      </c>
      <c r="C335" s="182">
        <v>12.732133729212656</v>
      </c>
      <c r="D335" s="205">
        <v>12.721</v>
      </c>
    </row>
    <row r="336" spans="1:40" x14ac:dyDescent="0.25">
      <c r="A336" s="159" t="s">
        <v>15</v>
      </c>
      <c r="B336" s="183">
        <v>12.633179987519293</v>
      </c>
      <c r="C336" s="183">
        <v>12.441243486147759</v>
      </c>
      <c r="D336" s="82">
        <v>12.634</v>
      </c>
    </row>
    <row r="337" spans="1:4" x14ac:dyDescent="0.25">
      <c r="A337" s="159" t="s">
        <v>21</v>
      </c>
      <c r="B337" s="183">
        <v>11.940492970692333</v>
      </c>
      <c r="C337" s="183">
        <v>11.991412134522992</v>
      </c>
      <c r="D337" s="82">
        <v>11.941000000000001</v>
      </c>
    </row>
    <row r="338" spans="1:4" x14ac:dyDescent="0.25">
      <c r="A338" s="159" t="s">
        <v>18</v>
      </c>
      <c r="B338" s="183">
        <v>11.884980757029561</v>
      </c>
      <c r="C338" s="183">
        <v>11.701173259452414</v>
      </c>
      <c r="D338" s="82">
        <v>11.884</v>
      </c>
    </row>
    <row r="339" spans="1:4" x14ac:dyDescent="0.25">
      <c r="A339" s="159" t="s">
        <v>16</v>
      </c>
      <c r="B339" s="183">
        <v>11.60742877073152</v>
      </c>
      <c r="C339" s="183">
        <v>11.928871829085455</v>
      </c>
      <c r="D339" s="82">
        <v>11.606999999999999</v>
      </c>
    </row>
    <row r="340" spans="1:4" x14ac:dyDescent="0.25">
      <c r="A340" s="159" t="s">
        <v>23</v>
      </c>
      <c r="B340" s="183">
        <v>11.107600430178691</v>
      </c>
      <c r="C340" s="183">
        <v>11.172110574334429</v>
      </c>
      <c r="D340" s="82">
        <v>11.108000000000001</v>
      </c>
    </row>
    <row r="341" spans="1:4" x14ac:dyDescent="0.25">
      <c r="A341" s="159" t="s">
        <v>20</v>
      </c>
      <c r="B341" s="183">
        <v>11.02378443279332</v>
      </c>
      <c r="C341" s="183">
        <v>10.982999782096588</v>
      </c>
      <c r="D341" s="82">
        <v>11.023999999999999</v>
      </c>
    </row>
    <row r="342" spans="1:4" x14ac:dyDescent="0.25">
      <c r="A342" s="159" t="s">
        <v>24</v>
      </c>
      <c r="B342" s="183">
        <v>10.928835518510208</v>
      </c>
      <c r="C342" s="183">
        <v>10.948639164129716</v>
      </c>
      <c r="D342" s="82">
        <v>10.928000000000001</v>
      </c>
    </row>
    <row r="343" spans="1:4" x14ac:dyDescent="0.25">
      <c r="A343" s="159" t="s">
        <v>19</v>
      </c>
      <c r="B343" s="183">
        <v>10.439033764014358</v>
      </c>
      <c r="C343" s="183">
        <v>10.638851320257926</v>
      </c>
      <c r="D343" s="82">
        <v>10.439</v>
      </c>
    </row>
    <row r="344" spans="1:4" ht="14.25" customHeight="1" thickBot="1" x14ac:dyDescent="0.3">
      <c r="A344" s="160" t="s">
        <v>14</v>
      </c>
      <c r="B344" s="184">
        <v>7.0688884680978052</v>
      </c>
      <c r="C344" s="184">
        <v>7.0707274772296014</v>
      </c>
      <c r="D344" s="83">
        <v>7.07</v>
      </c>
    </row>
    <row r="345" spans="1:4" ht="15.75" thickBot="1" x14ac:dyDescent="0.3"/>
    <row r="346" spans="1:4" ht="15" customHeight="1" x14ac:dyDescent="0.25">
      <c r="A346" s="233" t="s">
        <v>190</v>
      </c>
      <c r="B346" s="233" t="s">
        <v>225</v>
      </c>
    </row>
    <row r="347" spans="1:4" ht="15" customHeight="1" thickBot="1" x14ac:dyDescent="0.3">
      <c r="A347" s="249"/>
      <c r="B347" s="249"/>
    </row>
    <row r="348" spans="1:4" x14ac:dyDescent="0.25">
      <c r="A348" s="182" t="s">
        <v>25</v>
      </c>
      <c r="B348" s="205">
        <f>((AB321-AA321)+(AC321-Z321))/2</f>
        <v>9.4063615328364278</v>
      </c>
    </row>
    <row r="349" spans="1:4" x14ac:dyDescent="0.25">
      <c r="A349" s="183" t="s">
        <v>14</v>
      </c>
      <c r="B349" s="82">
        <f t="shared" ref="B349:B357" si="217">((AB322-AA322)+(AC322-Z322))/2</f>
        <v>9.2369571273103865</v>
      </c>
    </row>
    <row r="350" spans="1:4" x14ac:dyDescent="0.25">
      <c r="A350" s="183" t="s">
        <v>15</v>
      </c>
      <c r="B350" s="82">
        <f t="shared" si="217"/>
        <v>10.666618123701914</v>
      </c>
    </row>
    <row r="351" spans="1:4" x14ac:dyDescent="0.25">
      <c r="A351" s="183" t="s">
        <v>16</v>
      </c>
      <c r="B351" s="82">
        <f t="shared" si="217"/>
        <v>9.7012613123869631</v>
      </c>
    </row>
    <row r="352" spans="1:4" x14ac:dyDescent="0.25">
      <c r="A352" s="183" t="s">
        <v>18</v>
      </c>
      <c r="B352" s="82">
        <f t="shared" si="217"/>
        <v>10.216067736121124</v>
      </c>
    </row>
    <row r="353" spans="1:2" x14ac:dyDescent="0.25">
      <c r="A353" s="183" t="s">
        <v>19</v>
      </c>
      <c r="B353" s="82">
        <f t="shared" si="217"/>
        <v>9.1182028755863769</v>
      </c>
    </row>
    <row r="354" spans="1:2" x14ac:dyDescent="0.25">
      <c r="A354" s="183" t="s">
        <v>20</v>
      </c>
      <c r="B354" s="82">
        <f t="shared" si="217"/>
        <v>9.3529979941894048</v>
      </c>
    </row>
    <row r="355" spans="1:2" x14ac:dyDescent="0.25">
      <c r="A355" s="183" t="s">
        <v>21</v>
      </c>
      <c r="B355" s="82">
        <f t="shared" si="217"/>
        <v>9.6604107798525032</v>
      </c>
    </row>
    <row r="356" spans="1:2" x14ac:dyDescent="0.25">
      <c r="A356" s="183" t="s">
        <v>23</v>
      </c>
      <c r="B356" s="82">
        <f t="shared" si="217"/>
        <v>9.8882310794911383</v>
      </c>
    </row>
    <row r="357" spans="1:2" ht="15.75" thickBot="1" x14ac:dyDescent="0.3">
      <c r="A357" s="184" t="s">
        <v>24</v>
      </c>
      <c r="B357" s="83">
        <f t="shared" si="217"/>
        <v>9.6532924145538832</v>
      </c>
    </row>
    <row r="358" spans="1:2" ht="15.75" thickBot="1" x14ac:dyDescent="0.3"/>
    <row r="359" spans="1:2" x14ac:dyDescent="0.25">
      <c r="A359" s="233" t="s">
        <v>191</v>
      </c>
      <c r="B359" s="233" t="s">
        <v>225</v>
      </c>
    </row>
    <row r="360" spans="1:2" ht="15.75" thickBot="1" x14ac:dyDescent="0.3">
      <c r="A360" s="249"/>
      <c r="B360" s="249"/>
    </row>
    <row r="361" spans="1:2" x14ac:dyDescent="0.25">
      <c r="A361" s="182" t="s">
        <v>25</v>
      </c>
      <c r="B361" s="205">
        <f>AC321-Z321</f>
        <v>14.787478573064792</v>
      </c>
    </row>
    <row r="362" spans="1:2" x14ac:dyDescent="0.25">
      <c r="A362" s="183" t="s">
        <v>14</v>
      </c>
      <c r="B362" s="82">
        <f t="shared" ref="B362:B370" si="218">AC322-Z322</f>
        <v>13.511490284530728</v>
      </c>
    </row>
    <row r="363" spans="1:2" x14ac:dyDescent="0.25">
      <c r="A363" s="183" t="s">
        <v>15</v>
      </c>
      <c r="B363" s="82">
        <f t="shared" si="218"/>
        <v>16.40532026257122</v>
      </c>
    </row>
    <row r="364" spans="1:2" x14ac:dyDescent="0.25">
      <c r="A364" s="183" t="s">
        <v>16</v>
      </c>
      <c r="B364" s="82">
        <f t="shared" si="218"/>
        <v>14.908120238965637</v>
      </c>
    </row>
    <row r="365" spans="1:2" x14ac:dyDescent="0.25">
      <c r="A365" s="183" t="s">
        <v>18</v>
      </c>
      <c r="B365" s="82">
        <f t="shared" si="218"/>
        <v>15.690760450212288</v>
      </c>
    </row>
    <row r="366" spans="1:2" x14ac:dyDescent="0.25">
      <c r="A366" s="183" t="s">
        <v>19</v>
      </c>
      <c r="B366" s="82">
        <f t="shared" si="218"/>
        <v>13.893760232769164</v>
      </c>
    </row>
    <row r="367" spans="1:2" x14ac:dyDescent="0.25">
      <c r="A367" s="183" t="s">
        <v>20</v>
      </c>
      <c r="B367" s="82">
        <f t="shared" si="218"/>
        <v>14.316849722938395</v>
      </c>
    </row>
    <row r="368" spans="1:2" x14ac:dyDescent="0.25">
      <c r="A368" s="183" t="s">
        <v>21</v>
      </c>
      <c r="B368" s="82">
        <f t="shared" si="218"/>
        <v>14.951410237634466</v>
      </c>
    </row>
    <row r="369" spans="1:2" x14ac:dyDescent="0.25">
      <c r="A369" s="183" t="s">
        <v>23</v>
      </c>
      <c r="B369" s="82">
        <f t="shared" si="218"/>
        <v>15.135659849988969</v>
      </c>
    </row>
    <row r="370" spans="1:2" ht="15.75" thickBot="1" x14ac:dyDescent="0.3">
      <c r="A370" s="184" t="s">
        <v>24</v>
      </c>
      <c r="B370" s="83">
        <f t="shared" si="218"/>
        <v>14.774406757161017</v>
      </c>
    </row>
  </sheetData>
  <sortState xmlns:xlrd2="http://schemas.microsoft.com/office/spreadsheetml/2017/richdata2" ref="A335:B344">
    <sortCondition descending="1" ref="B335:B344"/>
  </sortState>
  <mergeCells count="166">
    <mergeCell ref="A333:A334"/>
    <mergeCell ref="B333:B334"/>
    <mergeCell ref="AL319:AM319"/>
    <mergeCell ref="AN319:AN320"/>
    <mergeCell ref="B320:E320"/>
    <mergeCell ref="F320:I320"/>
    <mergeCell ref="J320:M320"/>
    <mergeCell ref="N320:Q320"/>
    <mergeCell ref="R320:U320"/>
    <mergeCell ref="V320:Y320"/>
    <mergeCell ref="Z320:AC320"/>
    <mergeCell ref="AD320:AG320"/>
    <mergeCell ref="A319:A320"/>
    <mergeCell ref="B319:I319"/>
    <mergeCell ref="J319:Q319"/>
    <mergeCell ref="R319:Y319"/>
    <mergeCell ref="Z319:AG319"/>
    <mergeCell ref="AH319:AK319"/>
    <mergeCell ref="AH320:AI320"/>
    <mergeCell ref="AJ320:AK320"/>
    <mergeCell ref="C333:C334"/>
    <mergeCell ref="D333:D334"/>
    <mergeCell ref="A305:A306"/>
    <mergeCell ref="B305:I305"/>
    <mergeCell ref="J305:Q305"/>
    <mergeCell ref="R305:Y305"/>
    <mergeCell ref="B306:E306"/>
    <mergeCell ref="F306:I306"/>
    <mergeCell ref="J306:M306"/>
    <mergeCell ref="N306:Q306"/>
    <mergeCell ref="R306:U306"/>
    <mergeCell ref="V306:Y306"/>
    <mergeCell ref="A251:I251"/>
    <mergeCell ref="A252:D252"/>
    <mergeCell ref="F252:I252"/>
    <mergeCell ref="A194:A195"/>
    <mergeCell ref="B194:I194"/>
    <mergeCell ref="J194:Q194"/>
    <mergeCell ref="B195:E195"/>
    <mergeCell ref="F195:I195"/>
    <mergeCell ref="J195:M195"/>
    <mergeCell ref="N195:Q195"/>
    <mergeCell ref="R194:Y194"/>
    <mergeCell ref="R195:U195"/>
    <mergeCell ref="V195:Y195"/>
    <mergeCell ref="A165:A166"/>
    <mergeCell ref="B165:I165"/>
    <mergeCell ref="J165:Q165"/>
    <mergeCell ref="R165:Y165"/>
    <mergeCell ref="B166:E166"/>
    <mergeCell ref="F166:I166"/>
    <mergeCell ref="J166:M166"/>
    <mergeCell ref="N166:Q166"/>
    <mergeCell ref="R166:U166"/>
    <mergeCell ref="V166:Y166"/>
    <mergeCell ref="BO116:BR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BO117:BP117"/>
    <mergeCell ref="BQ117:BR117"/>
    <mergeCell ref="AI117:AL117"/>
    <mergeCell ref="AM117:AP117"/>
    <mergeCell ref="AQ117:AT117"/>
    <mergeCell ref="AU117:AX117"/>
    <mergeCell ref="AY117:BB117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BG116:BN116"/>
    <mergeCell ref="BC117:BF117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Q65:BR65"/>
    <mergeCell ref="BG65:BJ65"/>
    <mergeCell ref="BK65:BN65"/>
    <mergeCell ref="BO65:BP65"/>
    <mergeCell ref="AI65:AL65"/>
    <mergeCell ref="AM65:AP65"/>
    <mergeCell ref="AQ65:AT65"/>
    <mergeCell ref="AU65:AX65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BO12:BR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346:A347"/>
    <mergeCell ref="B346:B347"/>
    <mergeCell ref="A359:A360"/>
    <mergeCell ref="B359:B360"/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E92:L92"/>
    <mergeCell ref="E98:L98"/>
    <mergeCell ref="E144:L144"/>
    <mergeCell ref="E150:L150"/>
    <mergeCell ref="A208:I208"/>
    <mergeCell ref="A209:D209"/>
    <mergeCell ref="F209:J209"/>
  </mergeCells>
  <phoneticPr fontId="6" type="noConversion"/>
  <hyperlinks>
    <hyperlink ref="B4" r:id="rId1" xr:uid="{8B6B1A7C-E40E-4344-8E49-BC9E18E1DA2F}"/>
    <hyperlink ref="B6" r:id="rId2" xr:uid="{C66D20B0-AC79-41F8-B78D-BF7795A6D44C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U416"/>
  <sheetViews>
    <sheetView zoomScaleNormal="100" workbookViewId="0">
      <selection activeCell="A407" sqref="A407:A416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203" t="s">
        <v>244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183</v>
      </c>
      <c r="B4" s="40" t="s">
        <v>38</v>
      </c>
      <c r="C4" s="37"/>
    </row>
    <row r="5" spans="1:73" ht="30" customHeight="1" x14ac:dyDescent="0.25">
      <c r="A5" s="246" t="s">
        <v>221</v>
      </c>
      <c r="B5" s="247"/>
      <c r="C5" s="247"/>
      <c r="D5" s="248"/>
      <c r="E5" s="248"/>
    </row>
    <row r="6" spans="1:73" ht="31.5" x14ac:dyDescent="0.25">
      <c r="A6" s="146" t="s">
        <v>181</v>
      </c>
      <c r="B6" s="147" t="s">
        <v>185</v>
      </c>
      <c r="C6" s="38"/>
    </row>
    <row r="7" spans="1:73" ht="35.25" customHeight="1" x14ac:dyDescent="0.25">
      <c r="A7" s="246" t="s">
        <v>220</v>
      </c>
      <c r="B7" s="247"/>
      <c r="C7" s="247"/>
      <c r="D7" s="248"/>
      <c r="E7" s="24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42" t="s">
        <v>26</v>
      </c>
      <c r="B12" s="242" t="s">
        <v>27</v>
      </c>
      <c r="C12" s="243" t="s">
        <v>28</v>
      </c>
      <c r="D12" s="244" t="s">
        <v>58</v>
      </c>
      <c r="E12" s="245"/>
      <c r="F12" s="245"/>
      <c r="G12" s="245" t="s">
        <v>59</v>
      </c>
      <c r="H12" s="245"/>
      <c r="I12" s="245"/>
      <c r="J12" s="240" t="s">
        <v>88</v>
      </c>
      <c r="K12" s="230" t="s">
        <v>81</v>
      </c>
      <c r="L12" s="231"/>
      <c r="M12" s="231"/>
      <c r="N12" s="231"/>
      <c r="O12" s="231"/>
      <c r="P12" s="231"/>
      <c r="Q12" s="231"/>
      <c r="R12" s="232"/>
      <c r="S12" s="230" t="s">
        <v>79</v>
      </c>
      <c r="T12" s="231"/>
      <c r="U12" s="231"/>
      <c r="V12" s="231"/>
      <c r="W12" s="231"/>
      <c r="X12" s="231"/>
      <c r="Y12" s="231"/>
      <c r="Z12" s="232"/>
      <c r="AA12" s="230" t="s">
        <v>80</v>
      </c>
      <c r="AB12" s="231"/>
      <c r="AC12" s="231"/>
      <c r="AD12" s="231"/>
      <c r="AE12" s="231"/>
      <c r="AF12" s="231"/>
      <c r="AG12" s="231"/>
      <c r="AH12" s="232"/>
      <c r="AI12" s="230" t="s">
        <v>78</v>
      </c>
      <c r="AJ12" s="231"/>
      <c r="AK12" s="231"/>
      <c r="AL12" s="231"/>
      <c r="AM12" s="231"/>
      <c r="AN12" s="231"/>
      <c r="AO12" s="231"/>
      <c r="AP12" s="232"/>
      <c r="AQ12" s="230" t="s">
        <v>89</v>
      </c>
      <c r="AR12" s="231"/>
      <c r="AS12" s="231"/>
      <c r="AT12" s="231"/>
      <c r="AU12" s="231"/>
      <c r="AV12" s="231"/>
      <c r="AW12" s="231"/>
      <c r="AX12" s="232"/>
      <c r="AY12" s="230" t="s">
        <v>90</v>
      </c>
      <c r="AZ12" s="231"/>
      <c r="BA12" s="231"/>
      <c r="BB12" s="231"/>
      <c r="BC12" s="231"/>
      <c r="BD12" s="231"/>
      <c r="BE12" s="231"/>
      <c r="BF12" s="232"/>
      <c r="BG12" s="230" t="s">
        <v>132</v>
      </c>
      <c r="BH12" s="231"/>
      <c r="BI12" s="231"/>
      <c r="BJ12" s="231"/>
      <c r="BK12" s="231"/>
      <c r="BL12" s="231"/>
      <c r="BM12" s="231"/>
      <c r="BN12" s="232"/>
      <c r="BO12" s="219" t="s">
        <v>82</v>
      </c>
      <c r="BP12" s="220"/>
      <c r="BQ12" s="220"/>
      <c r="BR12" s="221"/>
      <c r="BS12" s="222" t="s">
        <v>84</v>
      </c>
      <c r="BT12" s="223"/>
      <c r="BU12" s="224" t="s">
        <v>87</v>
      </c>
    </row>
    <row r="13" spans="1:73" s="36" customFormat="1" ht="23.25" customHeight="1" thickBot="1" x14ac:dyDescent="0.3">
      <c r="A13" s="242"/>
      <c r="B13" s="242"/>
      <c r="C13" s="243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1"/>
      <c r="K13" s="230" t="s">
        <v>3</v>
      </c>
      <c r="L13" s="231"/>
      <c r="M13" s="231"/>
      <c r="N13" s="232"/>
      <c r="O13" s="230" t="s">
        <v>4</v>
      </c>
      <c r="P13" s="231"/>
      <c r="Q13" s="231"/>
      <c r="R13" s="232"/>
      <c r="S13" s="230" t="s">
        <v>3</v>
      </c>
      <c r="T13" s="231"/>
      <c r="U13" s="231"/>
      <c r="V13" s="232"/>
      <c r="W13" s="230" t="s">
        <v>4</v>
      </c>
      <c r="X13" s="231"/>
      <c r="Y13" s="231"/>
      <c r="Z13" s="232"/>
      <c r="AA13" s="230" t="s">
        <v>3</v>
      </c>
      <c r="AB13" s="231"/>
      <c r="AC13" s="231"/>
      <c r="AD13" s="232"/>
      <c r="AE13" s="230" t="s">
        <v>4</v>
      </c>
      <c r="AF13" s="231"/>
      <c r="AG13" s="231"/>
      <c r="AH13" s="232"/>
      <c r="AI13" s="230" t="s">
        <v>3</v>
      </c>
      <c r="AJ13" s="231"/>
      <c r="AK13" s="231"/>
      <c r="AL13" s="232"/>
      <c r="AM13" s="230" t="s">
        <v>4</v>
      </c>
      <c r="AN13" s="231"/>
      <c r="AO13" s="231"/>
      <c r="AP13" s="232"/>
      <c r="AQ13" s="230" t="s">
        <v>3</v>
      </c>
      <c r="AR13" s="231"/>
      <c r="AS13" s="231"/>
      <c r="AT13" s="232"/>
      <c r="AU13" s="230" t="s">
        <v>4</v>
      </c>
      <c r="AV13" s="231"/>
      <c r="AW13" s="231"/>
      <c r="AX13" s="232"/>
      <c r="AY13" s="230" t="s">
        <v>3</v>
      </c>
      <c r="AZ13" s="231"/>
      <c r="BA13" s="231"/>
      <c r="BB13" s="232"/>
      <c r="BC13" s="230" t="s">
        <v>4</v>
      </c>
      <c r="BD13" s="231"/>
      <c r="BE13" s="231"/>
      <c r="BF13" s="232"/>
      <c r="BG13" s="230" t="s">
        <v>3</v>
      </c>
      <c r="BH13" s="231"/>
      <c r="BI13" s="231"/>
      <c r="BJ13" s="232"/>
      <c r="BK13" s="230" t="s">
        <v>4</v>
      </c>
      <c r="BL13" s="231"/>
      <c r="BM13" s="231"/>
      <c r="BN13" s="232"/>
      <c r="BO13" s="216" t="s">
        <v>83</v>
      </c>
      <c r="BP13" s="217"/>
      <c r="BQ13" s="216" t="s">
        <v>5</v>
      </c>
      <c r="BR13" s="218"/>
      <c r="BS13" s="80" t="s">
        <v>85</v>
      </c>
      <c r="BT13" s="80" t="s">
        <v>86</v>
      </c>
      <c r="BU13" s="225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9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90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90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90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90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90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90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90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90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91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92"/>
      <c r="BG24" s="193"/>
      <c r="BH24" s="193"/>
      <c r="BI24" s="193"/>
      <c r="BJ24" s="193"/>
      <c r="BK24" s="193"/>
    </row>
    <row r="25" spans="1:73" x14ac:dyDescent="0.25">
      <c r="A25" s="1" t="s">
        <v>117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119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120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118</v>
      </c>
      <c r="E40" s="237" t="s">
        <v>57</v>
      </c>
      <c r="F40" s="238"/>
      <c r="G40" s="238"/>
      <c r="H40" s="238"/>
      <c r="I40" s="238"/>
      <c r="J40" s="238"/>
      <c r="K40" s="238"/>
      <c r="L40" s="239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121</v>
      </c>
    </row>
    <row r="46" spans="1:12" ht="30.75" thickBot="1" x14ac:dyDescent="0.3">
      <c r="A46" s="66" t="s">
        <v>63</v>
      </c>
      <c r="B46" s="67" t="s">
        <v>64</v>
      </c>
      <c r="E46" s="237" t="s">
        <v>65</v>
      </c>
      <c r="F46" s="238"/>
      <c r="G46" s="238"/>
      <c r="H46" s="238"/>
      <c r="I46" s="238"/>
      <c r="J46" s="238"/>
      <c r="K46" s="238"/>
      <c r="L46" s="239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42" t="s">
        <v>26</v>
      </c>
      <c r="B64" s="242" t="s">
        <v>27</v>
      </c>
      <c r="C64" s="243" t="s">
        <v>28</v>
      </c>
      <c r="D64" s="244" t="s">
        <v>58</v>
      </c>
      <c r="E64" s="245"/>
      <c r="F64" s="245"/>
      <c r="G64" s="245" t="s">
        <v>59</v>
      </c>
      <c r="H64" s="245"/>
      <c r="I64" s="245"/>
      <c r="J64" s="240" t="s">
        <v>88</v>
      </c>
      <c r="K64" s="230" t="s">
        <v>81</v>
      </c>
      <c r="L64" s="231"/>
      <c r="M64" s="231"/>
      <c r="N64" s="231"/>
      <c r="O64" s="231"/>
      <c r="P64" s="231"/>
      <c r="Q64" s="231"/>
      <c r="R64" s="232"/>
      <c r="S64" s="230" t="s">
        <v>79</v>
      </c>
      <c r="T64" s="231"/>
      <c r="U64" s="231"/>
      <c r="V64" s="231"/>
      <c r="W64" s="231"/>
      <c r="X64" s="231"/>
      <c r="Y64" s="231"/>
      <c r="Z64" s="232"/>
      <c r="AA64" s="230" t="s">
        <v>80</v>
      </c>
      <c r="AB64" s="231"/>
      <c r="AC64" s="231"/>
      <c r="AD64" s="231"/>
      <c r="AE64" s="231"/>
      <c r="AF64" s="231"/>
      <c r="AG64" s="231"/>
      <c r="AH64" s="232"/>
      <c r="AI64" s="230" t="s">
        <v>78</v>
      </c>
      <c r="AJ64" s="231"/>
      <c r="AK64" s="231"/>
      <c r="AL64" s="231"/>
      <c r="AM64" s="231"/>
      <c r="AN64" s="231"/>
      <c r="AO64" s="231"/>
      <c r="AP64" s="232"/>
      <c r="AQ64" s="230" t="s">
        <v>89</v>
      </c>
      <c r="AR64" s="231"/>
      <c r="AS64" s="231"/>
      <c r="AT64" s="231"/>
      <c r="AU64" s="231"/>
      <c r="AV64" s="231"/>
      <c r="AW64" s="231"/>
      <c r="AX64" s="232"/>
      <c r="AY64" s="230" t="s">
        <v>90</v>
      </c>
      <c r="AZ64" s="231"/>
      <c r="BA64" s="231"/>
      <c r="BB64" s="231"/>
      <c r="BC64" s="231"/>
      <c r="BD64" s="231"/>
      <c r="BE64" s="231"/>
      <c r="BF64" s="232"/>
      <c r="BG64" s="230" t="s">
        <v>132</v>
      </c>
      <c r="BH64" s="231"/>
      <c r="BI64" s="231"/>
      <c r="BJ64" s="231"/>
      <c r="BK64" s="231"/>
      <c r="BL64" s="231"/>
      <c r="BM64" s="231"/>
      <c r="BN64" s="232"/>
      <c r="BO64" s="219" t="s">
        <v>82</v>
      </c>
      <c r="BP64" s="220"/>
      <c r="BQ64" s="220"/>
      <c r="BR64" s="221"/>
      <c r="BS64" s="222" t="s">
        <v>84</v>
      </c>
      <c r="BT64" s="223"/>
      <c r="BU64" s="224" t="s">
        <v>87</v>
      </c>
    </row>
    <row r="65" spans="1:73" s="36" customFormat="1" ht="23.25" customHeight="1" thickBot="1" x14ac:dyDescent="0.3">
      <c r="A65" s="242"/>
      <c r="B65" s="242"/>
      <c r="C65" s="243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41"/>
      <c r="K65" s="230" t="s">
        <v>3</v>
      </c>
      <c r="L65" s="231"/>
      <c r="M65" s="231"/>
      <c r="N65" s="232"/>
      <c r="O65" s="230" t="s">
        <v>4</v>
      </c>
      <c r="P65" s="231"/>
      <c r="Q65" s="231"/>
      <c r="R65" s="232"/>
      <c r="S65" s="230" t="s">
        <v>3</v>
      </c>
      <c r="T65" s="231"/>
      <c r="U65" s="231"/>
      <c r="V65" s="232"/>
      <c r="W65" s="230" t="s">
        <v>4</v>
      </c>
      <c r="X65" s="231"/>
      <c r="Y65" s="231"/>
      <c r="Z65" s="232"/>
      <c r="AA65" s="230" t="s">
        <v>3</v>
      </c>
      <c r="AB65" s="231"/>
      <c r="AC65" s="231"/>
      <c r="AD65" s="232"/>
      <c r="AE65" s="230" t="s">
        <v>4</v>
      </c>
      <c r="AF65" s="231"/>
      <c r="AG65" s="231"/>
      <c r="AH65" s="232"/>
      <c r="AI65" s="230" t="s">
        <v>3</v>
      </c>
      <c r="AJ65" s="231"/>
      <c r="AK65" s="231"/>
      <c r="AL65" s="232"/>
      <c r="AM65" s="230" t="s">
        <v>4</v>
      </c>
      <c r="AN65" s="231"/>
      <c r="AO65" s="231"/>
      <c r="AP65" s="232"/>
      <c r="AQ65" s="230" t="s">
        <v>3</v>
      </c>
      <c r="AR65" s="231"/>
      <c r="AS65" s="231"/>
      <c r="AT65" s="232"/>
      <c r="AU65" s="230" t="s">
        <v>4</v>
      </c>
      <c r="AV65" s="231"/>
      <c r="AW65" s="231"/>
      <c r="AX65" s="232"/>
      <c r="AY65" s="230" t="s">
        <v>3</v>
      </c>
      <c r="AZ65" s="231"/>
      <c r="BA65" s="231"/>
      <c r="BB65" s="232"/>
      <c r="BC65" s="230" t="s">
        <v>4</v>
      </c>
      <c r="BD65" s="231"/>
      <c r="BE65" s="231"/>
      <c r="BF65" s="232"/>
      <c r="BG65" s="230" t="s">
        <v>3</v>
      </c>
      <c r="BH65" s="231"/>
      <c r="BI65" s="231"/>
      <c r="BJ65" s="232"/>
      <c r="BK65" s="230" t="s">
        <v>4</v>
      </c>
      <c r="BL65" s="231"/>
      <c r="BM65" s="231"/>
      <c r="BN65" s="232"/>
      <c r="BO65" s="216" t="s">
        <v>83</v>
      </c>
      <c r="BP65" s="217"/>
      <c r="BQ65" s="216" t="s">
        <v>5</v>
      </c>
      <c r="BR65" s="218"/>
      <c r="BS65" s="80" t="s">
        <v>85</v>
      </c>
      <c r="BT65" s="80" t="s">
        <v>86</v>
      </c>
      <c r="BU65" s="225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9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90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90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90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90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90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90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90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90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91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92"/>
      <c r="BG76" s="193"/>
      <c r="BH76" s="193"/>
      <c r="BI76" s="193"/>
      <c r="BJ76" s="193"/>
      <c r="BK76" s="193"/>
    </row>
    <row r="77" spans="1:73" x14ac:dyDescent="0.25">
      <c r="A77" s="1" t="s">
        <v>122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123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124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125</v>
      </c>
      <c r="E92" s="237" t="s">
        <v>57</v>
      </c>
      <c r="F92" s="238"/>
      <c r="G92" s="238"/>
      <c r="H92" s="238"/>
      <c r="I92" s="238"/>
      <c r="J92" s="238"/>
      <c r="K92" s="238"/>
      <c r="L92" s="239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126</v>
      </c>
    </row>
    <row r="98" spans="1:12" ht="30.75" thickBot="1" x14ac:dyDescent="0.3">
      <c r="A98" s="66" t="s">
        <v>63</v>
      </c>
      <c r="B98" s="67" t="s">
        <v>64</v>
      </c>
      <c r="E98" s="237" t="s">
        <v>65</v>
      </c>
      <c r="F98" s="238"/>
      <c r="G98" s="238"/>
      <c r="H98" s="238"/>
      <c r="I98" s="238"/>
      <c r="J98" s="238"/>
      <c r="K98" s="238"/>
      <c r="L98" s="239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42" t="s">
        <v>26</v>
      </c>
      <c r="B116" s="242" t="s">
        <v>27</v>
      </c>
      <c r="C116" s="243" t="s">
        <v>28</v>
      </c>
      <c r="D116" s="244" t="s">
        <v>58</v>
      </c>
      <c r="E116" s="245"/>
      <c r="F116" s="245"/>
      <c r="G116" s="245" t="s">
        <v>59</v>
      </c>
      <c r="H116" s="245"/>
      <c r="I116" s="245"/>
      <c r="J116" s="240" t="s">
        <v>88</v>
      </c>
      <c r="K116" s="230" t="s">
        <v>81</v>
      </c>
      <c r="L116" s="231"/>
      <c r="M116" s="231"/>
      <c r="N116" s="231"/>
      <c r="O116" s="231"/>
      <c r="P116" s="231"/>
      <c r="Q116" s="231"/>
      <c r="R116" s="232"/>
      <c r="S116" s="230" t="s">
        <v>79</v>
      </c>
      <c r="T116" s="231"/>
      <c r="U116" s="231"/>
      <c r="V116" s="231"/>
      <c r="W116" s="231"/>
      <c r="X116" s="231"/>
      <c r="Y116" s="231"/>
      <c r="Z116" s="232"/>
      <c r="AA116" s="230" t="s">
        <v>80</v>
      </c>
      <c r="AB116" s="231"/>
      <c r="AC116" s="231"/>
      <c r="AD116" s="231"/>
      <c r="AE116" s="231"/>
      <c r="AF116" s="231"/>
      <c r="AG116" s="231"/>
      <c r="AH116" s="232"/>
      <c r="AI116" s="230" t="s">
        <v>78</v>
      </c>
      <c r="AJ116" s="231"/>
      <c r="AK116" s="231"/>
      <c r="AL116" s="231"/>
      <c r="AM116" s="231"/>
      <c r="AN116" s="231"/>
      <c r="AO116" s="231"/>
      <c r="AP116" s="232"/>
      <c r="AQ116" s="230" t="s">
        <v>89</v>
      </c>
      <c r="AR116" s="231"/>
      <c r="AS116" s="231"/>
      <c r="AT116" s="231"/>
      <c r="AU116" s="231"/>
      <c r="AV116" s="231"/>
      <c r="AW116" s="231"/>
      <c r="AX116" s="232"/>
      <c r="AY116" s="230" t="s">
        <v>90</v>
      </c>
      <c r="AZ116" s="231"/>
      <c r="BA116" s="231"/>
      <c r="BB116" s="231"/>
      <c r="BC116" s="231"/>
      <c r="BD116" s="231"/>
      <c r="BE116" s="231"/>
      <c r="BF116" s="232"/>
      <c r="BG116" s="230" t="s">
        <v>132</v>
      </c>
      <c r="BH116" s="231"/>
      <c r="BI116" s="231"/>
      <c r="BJ116" s="231"/>
      <c r="BK116" s="231"/>
      <c r="BL116" s="231"/>
      <c r="BM116" s="231"/>
      <c r="BN116" s="232"/>
      <c r="BO116" s="219" t="s">
        <v>82</v>
      </c>
      <c r="BP116" s="220"/>
      <c r="BQ116" s="220"/>
      <c r="BR116" s="221"/>
      <c r="BS116" s="222" t="s">
        <v>84</v>
      </c>
      <c r="BT116" s="223"/>
      <c r="BU116" s="224" t="s">
        <v>87</v>
      </c>
    </row>
    <row r="117" spans="1:73" s="36" customFormat="1" ht="23.25" customHeight="1" thickBot="1" x14ac:dyDescent="0.3">
      <c r="A117" s="242"/>
      <c r="B117" s="242"/>
      <c r="C117" s="243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41"/>
      <c r="K117" s="230" t="s">
        <v>3</v>
      </c>
      <c r="L117" s="231"/>
      <c r="M117" s="231"/>
      <c r="N117" s="232"/>
      <c r="O117" s="230" t="s">
        <v>4</v>
      </c>
      <c r="P117" s="231"/>
      <c r="Q117" s="231"/>
      <c r="R117" s="232"/>
      <c r="S117" s="230" t="s">
        <v>3</v>
      </c>
      <c r="T117" s="231"/>
      <c r="U117" s="231"/>
      <c r="V117" s="232"/>
      <c r="W117" s="230" t="s">
        <v>4</v>
      </c>
      <c r="X117" s="231"/>
      <c r="Y117" s="231"/>
      <c r="Z117" s="232"/>
      <c r="AA117" s="230" t="s">
        <v>3</v>
      </c>
      <c r="AB117" s="231"/>
      <c r="AC117" s="231"/>
      <c r="AD117" s="232"/>
      <c r="AE117" s="230" t="s">
        <v>4</v>
      </c>
      <c r="AF117" s="231"/>
      <c r="AG117" s="231"/>
      <c r="AH117" s="232"/>
      <c r="AI117" s="230" t="s">
        <v>3</v>
      </c>
      <c r="AJ117" s="231"/>
      <c r="AK117" s="231"/>
      <c r="AL117" s="232"/>
      <c r="AM117" s="230" t="s">
        <v>4</v>
      </c>
      <c r="AN117" s="231"/>
      <c r="AO117" s="231"/>
      <c r="AP117" s="232"/>
      <c r="AQ117" s="230" t="s">
        <v>3</v>
      </c>
      <c r="AR117" s="231"/>
      <c r="AS117" s="231"/>
      <c r="AT117" s="232"/>
      <c r="AU117" s="230" t="s">
        <v>4</v>
      </c>
      <c r="AV117" s="231"/>
      <c r="AW117" s="231"/>
      <c r="AX117" s="232"/>
      <c r="AY117" s="230" t="s">
        <v>3</v>
      </c>
      <c r="AZ117" s="231"/>
      <c r="BA117" s="231"/>
      <c r="BB117" s="232"/>
      <c r="BC117" s="230" t="s">
        <v>4</v>
      </c>
      <c r="BD117" s="231"/>
      <c r="BE117" s="231"/>
      <c r="BF117" s="232"/>
      <c r="BG117" s="230" t="s">
        <v>3</v>
      </c>
      <c r="BH117" s="231"/>
      <c r="BI117" s="231"/>
      <c r="BJ117" s="232"/>
      <c r="BK117" s="230" t="s">
        <v>4</v>
      </c>
      <c r="BL117" s="231"/>
      <c r="BM117" s="231"/>
      <c r="BN117" s="232"/>
      <c r="BO117" s="216" t="s">
        <v>83</v>
      </c>
      <c r="BP117" s="217"/>
      <c r="BQ117" s="216" t="s">
        <v>5</v>
      </c>
      <c r="BR117" s="218"/>
      <c r="BS117" s="80" t="s">
        <v>85</v>
      </c>
      <c r="BT117" s="80" t="s">
        <v>86</v>
      </c>
      <c r="BU117" s="225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9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90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90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90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90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90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90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90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90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91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92"/>
      <c r="BG128" s="193"/>
      <c r="BH128" s="193"/>
      <c r="BI128" s="193"/>
      <c r="BJ128" s="193"/>
      <c r="BK128" s="193"/>
    </row>
    <row r="129" spans="1:12" x14ac:dyDescent="0.25">
      <c r="A129" s="1" t="s">
        <v>127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128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129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130</v>
      </c>
      <c r="E144" s="237" t="s">
        <v>57</v>
      </c>
      <c r="F144" s="238"/>
      <c r="G144" s="238"/>
      <c r="H144" s="238"/>
      <c r="I144" s="238"/>
      <c r="J144" s="238"/>
      <c r="K144" s="238"/>
      <c r="L144" s="239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131</v>
      </c>
    </row>
    <row r="150" spans="1:12" ht="30.75" thickBot="1" x14ac:dyDescent="0.3">
      <c r="A150" s="104" t="s">
        <v>63</v>
      </c>
      <c r="B150" s="105" t="s">
        <v>64</v>
      </c>
      <c r="E150" s="237" t="s">
        <v>65</v>
      </c>
      <c r="F150" s="238"/>
      <c r="G150" s="238"/>
      <c r="H150" s="238"/>
      <c r="I150" s="238"/>
      <c r="J150" s="238"/>
      <c r="K150" s="238"/>
      <c r="L150" s="239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12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12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12" x14ac:dyDescent="0.25">
      <c r="A164" s="1" t="s">
        <v>214</v>
      </c>
    </row>
    <row r="165" spans="1:12" ht="15.75" thickBot="1" x14ac:dyDescent="0.3">
      <c r="A165" s="1" t="s">
        <v>135</v>
      </c>
    </row>
    <row r="166" spans="1:12" ht="15" customHeight="1" thickBot="1" x14ac:dyDescent="0.3">
      <c r="A166" s="111" t="s">
        <v>106</v>
      </c>
      <c r="B166" s="52" t="s">
        <v>149</v>
      </c>
      <c r="C166" s="120" t="s">
        <v>150</v>
      </c>
    </row>
    <row r="167" spans="1:12" x14ac:dyDescent="0.25">
      <c r="A167" s="113" t="s">
        <v>107</v>
      </c>
      <c r="B167" s="11">
        <v>0.75</v>
      </c>
      <c r="C167" s="121">
        <f>B167/B$170</f>
        <v>0.3</v>
      </c>
    </row>
    <row r="168" spans="1:12" x14ac:dyDescent="0.25">
      <c r="A168" s="12" t="s">
        <v>108</v>
      </c>
      <c r="B168" s="12">
        <v>0.75</v>
      </c>
      <c r="C168" s="96">
        <f t="shared" ref="C168:C169" si="125">B168/B$170</f>
        <v>0.3</v>
      </c>
    </row>
    <row r="169" spans="1:12" ht="15.75" thickBot="1" x14ac:dyDescent="0.3">
      <c r="A169" s="117" t="s">
        <v>134</v>
      </c>
      <c r="B169" s="117">
        <v>1</v>
      </c>
      <c r="C169" s="97">
        <f t="shared" si="125"/>
        <v>0.4</v>
      </c>
    </row>
    <row r="170" spans="1:12" ht="15.75" thickBot="1" x14ac:dyDescent="0.3">
      <c r="A170" s="14" t="s">
        <v>148</v>
      </c>
      <c r="B170" s="118">
        <f>SUM(B167:B169)</f>
        <v>2.5</v>
      </c>
      <c r="C170" s="119">
        <f>SUM(C167:C169)</f>
        <v>1</v>
      </c>
    </row>
    <row r="172" spans="1:12" ht="15.75" thickBot="1" x14ac:dyDescent="0.3">
      <c r="A172" s="1" t="s">
        <v>170</v>
      </c>
    </row>
    <row r="173" spans="1:12" ht="15.75" thickBot="1" x14ac:dyDescent="0.3">
      <c r="A173" s="115" t="s">
        <v>174</v>
      </c>
      <c r="B173" s="116" t="s">
        <v>171</v>
      </c>
    </row>
    <row r="174" spans="1:12" x14ac:dyDescent="0.25">
      <c r="A174" s="130" t="s">
        <v>172</v>
      </c>
      <c r="B174" s="107">
        <v>0.8</v>
      </c>
    </row>
    <row r="175" spans="1:12" ht="15.75" thickBot="1" x14ac:dyDescent="0.3">
      <c r="A175" s="131" t="s">
        <v>204</v>
      </c>
      <c r="B175" s="62">
        <v>0.4</v>
      </c>
    </row>
    <row r="177" spans="1:9" x14ac:dyDescent="0.25">
      <c r="A177" s="254" t="s">
        <v>209</v>
      </c>
      <c r="B177" s="255"/>
      <c r="C177" s="255"/>
      <c r="D177" s="255"/>
      <c r="E177" s="255"/>
      <c r="F177" s="255"/>
      <c r="G177" s="255"/>
      <c r="H177" s="255"/>
      <c r="I177" s="255"/>
    </row>
    <row r="178" spans="1:9" x14ac:dyDescent="0.25">
      <c r="A178" s="251" t="s">
        <v>156</v>
      </c>
      <c r="B178" s="248"/>
      <c r="C178" s="248"/>
      <c r="D178" s="248"/>
      <c r="F178" s="122" t="s">
        <v>157</v>
      </c>
    </row>
    <row r="180" spans="1:9" x14ac:dyDescent="0.25">
      <c r="A180" s="122" t="s">
        <v>25</v>
      </c>
      <c r="B180">
        <v>1</v>
      </c>
      <c r="C180">
        <v>0.7</v>
      </c>
      <c r="D180">
        <v>0.51</v>
      </c>
      <c r="F180" s="122" t="s">
        <v>25</v>
      </c>
      <c r="G180">
        <v>1</v>
      </c>
      <c r="H180">
        <v>0.64</v>
      </c>
      <c r="I180">
        <v>0.43</v>
      </c>
    </row>
    <row r="181" spans="1:9" x14ac:dyDescent="0.25">
      <c r="B181">
        <v>0.7</v>
      </c>
      <c r="C181">
        <v>1</v>
      </c>
      <c r="D181">
        <v>0.75</v>
      </c>
      <c r="G181">
        <v>0.64</v>
      </c>
      <c r="H181">
        <v>1</v>
      </c>
      <c r="I181">
        <v>0.73</v>
      </c>
    </row>
    <row r="182" spans="1:9" x14ac:dyDescent="0.25">
      <c r="B182">
        <v>0.51</v>
      </c>
      <c r="C182">
        <v>0.75</v>
      </c>
      <c r="D182">
        <v>1</v>
      </c>
      <c r="G182">
        <v>0.43</v>
      </c>
      <c r="H182">
        <v>0.73</v>
      </c>
      <c r="I182">
        <v>1</v>
      </c>
    </row>
    <row r="184" spans="1:9" x14ac:dyDescent="0.25">
      <c r="A184" s="122" t="s">
        <v>14</v>
      </c>
      <c r="B184">
        <v>1</v>
      </c>
      <c r="C184">
        <v>0.68</v>
      </c>
      <c r="D184">
        <v>0.8</v>
      </c>
      <c r="F184" s="122" t="s">
        <v>14</v>
      </c>
      <c r="G184">
        <v>1</v>
      </c>
      <c r="H184">
        <v>0.65</v>
      </c>
      <c r="I184">
        <v>0.77</v>
      </c>
    </row>
    <row r="185" spans="1:9" x14ac:dyDescent="0.25">
      <c r="B185">
        <v>0.68</v>
      </c>
      <c r="C185">
        <v>1</v>
      </c>
      <c r="D185">
        <v>0.54</v>
      </c>
      <c r="G185">
        <v>0.65</v>
      </c>
      <c r="H185">
        <v>1</v>
      </c>
      <c r="I185">
        <v>0.51</v>
      </c>
    </row>
    <row r="186" spans="1:9" x14ac:dyDescent="0.25">
      <c r="B186">
        <v>0.8</v>
      </c>
      <c r="C186">
        <v>0.54</v>
      </c>
      <c r="D186">
        <v>1</v>
      </c>
      <c r="G186">
        <v>0.77</v>
      </c>
      <c r="H186">
        <v>0.51</v>
      </c>
      <c r="I186">
        <v>1</v>
      </c>
    </row>
    <row r="188" spans="1:9" x14ac:dyDescent="0.25">
      <c r="A188" s="122" t="s">
        <v>15</v>
      </c>
      <c r="B188">
        <v>1</v>
      </c>
      <c r="C188">
        <v>0.27</v>
      </c>
      <c r="D188">
        <v>0.74</v>
      </c>
      <c r="F188" s="122" t="s">
        <v>15</v>
      </c>
      <c r="G188">
        <v>1</v>
      </c>
      <c r="H188">
        <v>0.18</v>
      </c>
      <c r="I188">
        <v>0.68</v>
      </c>
    </row>
    <row r="189" spans="1:9" x14ac:dyDescent="0.25">
      <c r="B189">
        <v>0.27</v>
      </c>
      <c r="C189">
        <v>1</v>
      </c>
      <c r="D189">
        <v>0.37</v>
      </c>
      <c r="G189">
        <v>0.18</v>
      </c>
      <c r="H189">
        <v>1</v>
      </c>
      <c r="I189">
        <v>0.3</v>
      </c>
    </row>
    <row r="190" spans="1:9" x14ac:dyDescent="0.25">
      <c r="B190">
        <v>0.74</v>
      </c>
      <c r="C190">
        <v>0.37</v>
      </c>
      <c r="D190">
        <v>1</v>
      </c>
      <c r="G190">
        <v>0.68</v>
      </c>
      <c r="H190">
        <v>0.3</v>
      </c>
      <c r="I190">
        <v>1</v>
      </c>
    </row>
    <row r="192" spans="1:9" x14ac:dyDescent="0.25">
      <c r="A192" s="122" t="s">
        <v>16</v>
      </c>
      <c r="B192">
        <v>1</v>
      </c>
      <c r="C192">
        <v>0.68</v>
      </c>
      <c r="D192">
        <v>0.31</v>
      </c>
      <c r="F192" s="122" t="s">
        <v>16</v>
      </c>
      <c r="G192">
        <v>1</v>
      </c>
      <c r="H192">
        <v>0.64</v>
      </c>
      <c r="I192">
        <v>0.24</v>
      </c>
    </row>
    <row r="193" spans="1:9" x14ac:dyDescent="0.25">
      <c r="B193">
        <v>0.68</v>
      </c>
      <c r="C193">
        <v>1</v>
      </c>
      <c r="D193">
        <v>0.2</v>
      </c>
      <c r="G193">
        <v>0.64</v>
      </c>
      <c r="H193">
        <v>1</v>
      </c>
      <c r="I193">
        <v>0.13</v>
      </c>
    </row>
    <row r="194" spans="1:9" x14ac:dyDescent="0.25">
      <c r="B194">
        <v>0.31</v>
      </c>
      <c r="C194">
        <v>0.2</v>
      </c>
      <c r="D194">
        <v>1</v>
      </c>
      <c r="G194">
        <v>0.24</v>
      </c>
      <c r="H194">
        <v>0.13</v>
      </c>
      <c r="I194">
        <v>1</v>
      </c>
    </row>
    <row r="196" spans="1:9" x14ac:dyDescent="0.25">
      <c r="A196" s="122" t="s">
        <v>18</v>
      </c>
      <c r="B196">
        <v>1</v>
      </c>
      <c r="C196">
        <v>0.32</v>
      </c>
      <c r="D196">
        <v>0.59</v>
      </c>
      <c r="F196" s="122" t="s">
        <v>18</v>
      </c>
      <c r="G196">
        <v>1</v>
      </c>
      <c r="H196">
        <v>0.24</v>
      </c>
      <c r="I196">
        <v>0.56000000000000005</v>
      </c>
    </row>
    <row r="197" spans="1:9" x14ac:dyDescent="0.25">
      <c r="B197">
        <v>0.32</v>
      </c>
      <c r="C197">
        <v>1</v>
      </c>
      <c r="D197">
        <v>0.13</v>
      </c>
      <c r="G197">
        <v>0.24</v>
      </c>
      <c r="H197">
        <v>1</v>
      </c>
      <c r="I197">
        <v>7.0000000000000007E-2</v>
      </c>
    </row>
    <row r="198" spans="1:9" x14ac:dyDescent="0.25">
      <c r="B198">
        <v>0.59</v>
      </c>
      <c r="C198">
        <v>0.13</v>
      </c>
      <c r="D198">
        <v>1</v>
      </c>
      <c r="G198">
        <v>0.56000000000000005</v>
      </c>
      <c r="H198">
        <v>7.0000000000000007E-2</v>
      </c>
      <c r="I198">
        <v>1</v>
      </c>
    </row>
    <row r="200" spans="1:9" x14ac:dyDescent="0.25">
      <c r="A200" s="122" t="s">
        <v>19</v>
      </c>
      <c r="B200">
        <v>1</v>
      </c>
      <c r="C200">
        <v>0.4</v>
      </c>
      <c r="D200">
        <v>0.28999999999999998</v>
      </c>
      <c r="F200" s="122" t="s">
        <v>19</v>
      </c>
      <c r="G200">
        <v>1</v>
      </c>
      <c r="H200">
        <v>0.34</v>
      </c>
      <c r="I200">
        <v>0.22</v>
      </c>
    </row>
    <row r="201" spans="1:9" x14ac:dyDescent="0.25">
      <c r="B201">
        <v>0.4</v>
      </c>
      <c r="C201">
        <v>1</v>
      </c>
      <c r="D201">
        <v>0.1</v>
      </c>
      <c r="G201">
        <v>0.34</v>
      </c>
      <c r="H201">
        <v>1</v>
      </c>
      <c r="I201">
        <v>0.05</v>
      </c>
    </row>
    <row r="202" spans="1:9" x14ac:dyDescent="0.25">
      <c r="B202">
        <v>0.28999999999999998</v>
      </c>
      <c r="C202">
        <v>0.1</v>
      </c>
      <c r="D202">
        <v>1</v>
      </c>
      <c r="G202">
        <v>0.22</v>
      </c>
      <c r="H202">
        <v>0.05</v>
      </c>
      <c r="I202">
        <v>1</v>
      </c>
    </row>
    <row r="204" spans="1:9" x14ac:dyDescent="0.25">
      <c r="A204" s="122" t="s">
        <v>20</v>
      </c>
      <c r="B204">
        <v>1</v>
      </c>
      <c r="C204">
        <v>0.4</v>
      </c>
      <c r="D204">
        <v>0.53</v>
      </c>
      <c r="F204" s="122" t="s">
        <v>20</v>
      </c>
      <c r="G204">
        <v>1</v>
      </c>
      <c r="H204">
        <v>0.34</v>
      </c>
      <c r="I204">
        <v>0.46</v>
      </c>
    </row>
    <row r="205" spans="1:9" x14ac:dyDescent="0.25">
      <c r="B205">
        <v>0.4</v>
      </c>
      <c r="C205">
        <v>1</v>
      </c>
      <c r="D205">
        <v>0.2</v>
      </c>
      <c r="G205">
        <v>0.34</v>
      </c>
      <c r="H205">
        <v>1</v>
      </c>
      <c r="I205">
        <v>0.13</v>
      </c>
    </row>
    <row r="206" spans="1:9" x14ac:dyDescent="0.25">
      <c r="B206">
        <v>0.53</v>
      </c>
      <c r="C206">
        <v>0.2</v>
      </c>
      <c r="D206">
        <v>1</v>
      </c>
      <c r="G206">
        <v>0.46</v>
      </c>
      <c r="H206">
        <v>0.13</v>
      </c>
      <c r="I206">
        <v>1</v>
      </c>
    </row>
    <row r="208" spans="1:9" x14ac:dyDescent="0.25">
      <c r="A208" s="122" t="s">
        <v>21</v>
      </c>
      <c r="B208">
        <v>1</v>
      </c>
      <c r="C208">
        <v>0.87</v>
      </c>
      <c r="D208">
        <v>0.62</v>
      </c>
      <c r="F208" s="122" t="s">
        <v>21</v>
      </c>
      <c r="G208">
        <v>1</v>
      </c>
      <c r="H208">
        <v>0.85</v>
      </c>
      <c r="I208">
        <v>0.56999999999999995</v>
      </c>
    </row>
    <row r="209" spans="1:9" x14ac:dyDescent="0.25">
      <c r="B209">
        <v>0.87</v>
      </c>
      <c r="C209">
        <v>1</v>
      </c>
      <c r="D209">
        <v>0.65</v>
      </c>
      <c r="G209">
        <v>0.85</v>
      </c>
      <c r="H209">
        <v>1</v>
      </c>
      <c r="I209">
        <v>0.61</v>
      </c>
    </row>
    <row r="210" spans="1:9" x14ac:dyDescent="0.25">
      <c r="B210">
        <v>0.62</v>
      </c>
      <c r="C210">
        <v>0.65</v>
      </c>
      <c r="D210">
        <v>1</v>
      </c>
      <c r="G210">
        <v>0.56999999999999995</v>
      </c>
      <c r="H210">
        <v>0.61</v>
      </c>
      <c r="I210">
        <v>1</v>
      </c>
    </row>
    <row r="212" spans="1:9" x14ac:dyDescent="0.25">
      <c r="A212" s="122" t="s">
        <v>23</v>
      </c>
      <c r="B212">
        <v>1</v>
      </c>
      <c r="C212">
        <v>0.65</v>
      </c>
      <c r="D212">
        <v>0.59</v>
      </c>
      <c r="F212" s="122" t="s">
        <v>23</v>
      </c>
      <c r="G212">
        <v>1</v>
      </c>
      <c r="H212">
        <v>0.56000000000000005</v>
      </c>
      <c r="I212">
        <v>0.56000000000000005</v>
      </c>
    </row>
    <row r="213" spans="1:9" x14ac:dyDescent="0.25">
      <c r="B213">
        <v>0.63</v>
      </c>
      <c r="C213">
        <v>1</v>
      </c>
      <c r="D213">
        <v>0.33</v>
      </c>
      <c r="G213">
        <v>0.56000000000000005</v>
      </c>
      <c r="H213">
        <v>1</v>
      </c>
      <c r="I213">
        <v>0.26</v>
      </c>
    </row>
    <row r="214" spans="1:9" x14ac:dyDescent="0.25">
      <c r="B214">
        <v>0.59</v>
      </c>
      <c r="C214">
        <v>0.33</v>
      </c>
      <c r="D214">
        <v>1</v>
      </c>
      <c r="G214">
        <v>0.56000000000000005</v>
      </c>
      <c r="H214">
        <v>0.26</v>
      </c>
      <c r="I214">
        <v>1</v>
      </c>
    </row>
    <row r="216" spans="1:9" x14ac:dyDescent="0.25">
      <c r="A216" s="122" t="s">
        <v>24</v>
      </c>
      <c r="B216">
        <v>1</v>
      </c>
      <c r="C216">
        <v>0.28000000000000003</v>
      </c>
      <c r="D216">
        <v>0.53</v>
      </c>
      <c r="F216" s="122" t="s">
        <v>24</v>
      </c>
      <c r="G216">
        <v>1</v>
      </c>
      <c r="H216">
        <v>0.21</v>
      </c>
      <c r="I216">
        <v>0.47</v>
      </c>
    </row>
    <row r="217" spans="1:9" x14ac:dyDescent="0.25">
      <c r="B217">
        <v>0.28000000000000003</v>
      </c>
      <c r="C217">
        <v>1</v>
      </c>
      <c r="D217">
        <v>0.56000000000000005</v>
      </c>
      <c r="G217">
        <v>0.21</v>
      </c>
      <c r="H217">
        <v>1</v>
      </c>
      <c r="I217">
        <v>0.5</v>
      </c>
    </row>
    <row r="218" spans="1:9" x14ac:dyDescent="0.25">
      <c r="B218">
        <v>0.53</v>
      </c>
      <c r="C218">
        <v>0.56000000000000005</v>
      </c>
      <c r="D218">
        <v>1</v>
      </c>
      <c r="G218">
        <v>0.47</v>
      </c>
      <c r="H218">
        <v>0.5</v>
      </c>
      <c r="I218">
        <v>1</v>
      </c>
    </row>
    <row r="220" spans="1:9" x14ac:dyDescent="0.25">
      <c r="A220" s="254" t="s">
        <v>208</v>
      </c>
      <c r="B220" s="255"/>
      <c r="C220" s="255"/>
      <c r="D220" s="255"/>
      <c r="E220" s="255"/>
      <c r="F220" s="255"/>
      <c r="G220" s="255"/>
      <c r="H220" s="255"/>
      <c r="I220" s="255"/>
    </row>
    <row r="221" spans="1:9" x14ac:dyDescent="0.25">
      <c r="A221" s="251" t="s">
        <v>215</v>
      </c>
      <c r="B221" s="248"/>
      <c r="C221" s="248"/>
      <c r="D221" s="248"/>
      <c r="F221" s="122" t="s">
        <v>216</v>
      </c>
    </row>
    <row r="223" spans="1:9" x14ac:dyDescent="0.25">
      <c r="A223" s="122" t="s">
        <v>25</v>
      </c>
      <c r="B223">
        <v>0</v>
      </c>
      <c r="C223">
        <v>0.65</v>
      </c>
      <c r="D223">
        <v>1</v>
      </c>
      <c r="F223" s="122" t="s">
        <v>25</v>
      </c>
      <c r="G223">
        <v>0</v>
      </c>
      <c r="H223">
        <v>0.65</v>
      </c>
      <c r="I223">
        <v>1</v>
      </c>
    </row>
    <row r="224" spans="1:9" x14ac:dyDescent="0.25">
      <c r="B224">
        <v>0.65</v>
      </c>
      <c r="C224">
        <v>0</v>
      </c>
      <c r="D224">
        <v>0.61</v>
      </c>
      <c r="G224">
        <v>0.65</v>
      </c>
      <c r="H224">
        <v>0</v>
      </c>
      <c r="I224">
        <v>0.53</v>
      </c>
    </row>
    <row r="225" spans="1:9" x14ac:dyDescent="0.25">
      <c r="B225">
        <v>1</v>
      </c>
      <c r="C225">
        <v>0.61</v>
      </c>
      <c r="D225">
        <v>0</v>
      </c>
      <c r="G225">
        <v>1</v>
      </c>
      <c r="H225">
        <v>0.53</v>
      </c>
      <c r="I225">
        <v>0</v>
      </c>
    </row>
    <row r="227" spans="1:9" x14ac:dyDescent="0.25">
      <c r="A227" s="122" t="s">
        <v>14</v>
      </c>
      <c r="B227">
        <v>0</v>
      </c>
      <c r="C227">
        <v>0.65</v>
      </c>
      <c r="D227">
        <v>0.35</v>
      </c>
      <c r="F227" s="122" t="s">
        <v>14</v>
      </c>
      <c r="G227">
        <v>0</v>
      </c>
      <c r="H227">
        <v>0.64</v>
      </c>
      <c r="I227">
        <v>0.36</v>
      </c>
    </row>
    <row r="228" spans="1:9" x14ac:dyDescent="0.25">
      <c r="B228">
        <v>0.65</v>
      </c>
      <c r="C228">
        <v>0</v>
      </c>
      <c r="D228">
        <v>1</v>
      </c>
      <c r="G228">
        <v>0.64</v>
      </c>
      <c r="H228">
        <v>0</v>
      </c>
      <c r="I228">
        <v>1</v>
      </c>
    </row>
    <row r="229" spans="1:9" x14ac:dyDescent="0.25">
      <c r="B229">
        <v>0.35</v>
      </c>
      <c r="C229">
        <v>1</v>
      </c>
      <c r="D229">
        <v>0</v>
      </c>
      <c r="G229">
        <v>0.36</v>
      </c>
      <c r="H229">
        <v>1</v>
      </c>
      <c r="I229">
        <v>0</v>
      </c>
    </row>
    <row r="231" spans="1:9" x14ac:dyDescent="0.25">
      <c r="A231" s="122" t="s">
        <v>15</v>
      </c>
      <c r="B231">
        <v>0</v>
      </c>
      <c r="C231">
        <v>1</v>
      </c>
      <c r="D231">
        <v>0.22</v>
      </c>
      <c r="F231" s="122" t="s">
        <v>15</v>
      </c>
      <c r="G231">
        <v>0</v>
      </c>
      <c r="H231">
        <v>1</v>
      </c>
      <c r="I231">
        <v>0.24</v>
      </c>
    </row>
    <row r="232" spans="1:9" x14ac:dyDescent="0.25">
      <c r="B232">
        <v>1</v>
      </c>
      <c r="C232">
        <v>0</v>
      </c>
      <c r="D232">
        <v>0.78</v>
      </c>
      <c r="G232">
        <v>1</v>
      </c>
      <c r="H232">
        <v>0</v>
      </c>
      <c r="I232">
        <v>0.76</v>
      </c>
    </row>
    <row r="233" spans="1:9" x14ac:dyDescent="0.25">
      <c r="B233">
        <v>0.22</v>
      </c>
      <c r="C233">
        <v>0.78</v>
      </c>
      <c r="D233">
        <v>0</v>
      </c>
      <c r="G233">
        <v>0.24</v>
      </c>
      <c r="H233">
        <v>0.76</v>
      </c>
      <c r="I233">
        <v>0</v>
      </c>
    </row>
    <row r="235" spans="1:9" x14ac:dyDescent="0.25">
      <c r="A235" s="122" t="s">
        <v>16</v>
      </c>
      <c r="B235">
        <v>0</v>
      </c>
      <c r="C235">
        <v>0.27</v>
      </c>
      <c r="D235">
        <v>0.74</v>
      </c>
      <c r="F235" s="122" t="s">
        <v>16</v>
      </c>
      <c r="G235">
        <v>0</v>
      </c>
      <c r="H235">
        <v>0.27</v>
      </c>
      <c r="I235">
        <v>0.75</v>
      </c>
    </row>
    <row r="236" spans="1:9" x14ac:dyDescent="0.25">
      <c r="B236">
        <v>0.27</v>
      </c>
      <c r="C236">
        <v>0</v>
      </c>
      <c r="D236">
        <v>1</v>
      </c>
      <c r="G236">
        <v>0.27</v>
      </c>
      <c r="H236">
        <v>0</v>
      </c>
      <c r="I236">
        <v>1</v>
      </c>
    </row>
    <row r="237" spans="1:9" x14ac:dyDescent="0.25">
      <c r="B237">
        <v>0.74</v>
      </c>
      <c r="C237">
        <v>1</v>
      </c>
      <c r="D237">
        <v>0</v>
      </c>
      <c r="G237">
        <v>0.75</v>
      </c>
      <c r="H237">
        <v>1</v>
      </c>
      <c r="I237">
        <v>0</v>
      </c>
    </row>
    <row r="239" spans="1:9" x14ac:dyDescent="0.25">
      <c r="A239" s="122" t="s">
        <v>18</v>
      </c>
      <c r="B239">
        <v>0</v>
      </c>
      <c r="C239">
        <v>0.68</v>
      </c>
      <c r="D239">
        <v>0.35</v>
      </c>
      <c r="F239" s="122" t="s">
        <v>18</v>
      </c>
      <c r="G239">
        <v>0</v>
      </c>
      <c r="H239">
        <v>0.71</v>
      </c>
      <c r="I239">
        <v>0.33</v>
      </c>
    </row>
    <row r="240" spans="1:9" x14ac:dyDescent="0.25">
      <c r="B240">
        <v>0.68</v>
      </c>
      <c r="C240">
        <v>0</v>
      </c>
      <c r="D240">
        <v>1</v>
      </c>
      <c r="G240">
        <v>0.71</v>
      </c>
      <c r="H240">
        <v>0</v>
      </c>
      <c r="I240">
        <v>1</v>
      </c>
    </row>
    <row r="241" spans="1:9" x14ac:dyDescent="0.25">
      <c r="B241">
        <v>0.35</v>
      </c>
      <c r="C241">
        <v>1</v>
      </c>
      <c r="D241">
        <v>0</v>
      </c>
      <c r="G241">
        <v>0.33</v>
      </c>
      <c r="H241">
        <v>1</v>
      </c>
      <c r="I241">
        <v>0</v>
      </c>
    </row>
    <row r="243" spans="1:9" x14ac:dyDescent="0.25">
      <c r="A243" s="122" t="s">
        <v>19</v>
      </c>
      <c r="B243">
        <v>0</v>
      </c>
      <c r="C243">
        <v>0.5</v>
      </c>
      <c r="D243">
        <v>0.56000000000000005</v>
      </c>
      <c r="F243" s="122" t="s">
        <v>19</v>
      </c>
      <c r="G243">
        <v>0</v>
      </c>
      <c r="H243">
        <v>0.49</v>
      </c>
      <c r="I243">
        <v>0.57999999999999996</v>
      </c>
    </row>
    <row r="244" spans="1:9" x14ac:dyDescent="0.25">
      <c r="B244">
        <v>0.5</v>
      </c>
      <c r="C244">
        <v>0</v>
      </c>
      <c r="D244">
        <v>1</v>
      </c>
      <c r="G244">
        <v>0.49</v>
      </c>
      <c r="H244">
        <v>0</v>
      </c>
      <c r="I244">
        <v>1</v>
      </c>
    </row>
    <row r="245" spans="1:9" x14ac:dyDescent="0.25">
      <c r="B245">
        <v>0.56000000000000005</v>
      </c>
      <c r="C245">
        <v>1</v>
      </c>
      <c r="D245">
        <v>0</v>
      </c>
      <c r="G245">
        <v>0.57999999999999996</v>
      </c>
      <c r="H245">
        <v>1</v>
      </c>
      <c r="I245">
        <v>0</v>
      </c>
    </row>
    <row r="247" spans="1:9" x14ac:dyDescent="0.25">
      <c r="A247" s="122" t="s">
        <v>20</v>
      </c>
      <c r="B247">
        <v>0</v>
      </c>
      <c r="C247">
        <v>0.62</v>
      </c>
      <c r="D247">
        <v>0.39</v>
      </c>
      <c r="F247" s="122" t="s">
        <v>20</v>
      </c>
      <c r="G247">
        <v>0</v>
      </c>
      <c r="H247">
        <v>0.6</v>
      </c>
      <c r="I247">
        <v>0.41</v>
      </c>
    </row>
    <row r="248" spans="1:9" x14ac:dyDescent="0.25">
      <c r="B248">
        <v>0.62</v>
      </c>
      <c r="C248">
        <v>0</v>
      </c>
      <c r="D248">
        <v>1</v>
      </c>
      <c r="G248">
        <v>0.6</v>
      </c>
      <c r="H248">
        <v>0</v>
      </c>
      <c r="I248">
        <v>1</v>
      </c>
    </row>
    <row r="249" spans="1:9" x14ac:dyDescent="0.25">
      <c r="B249">
        <v>0.39</v>
      </c>
      <c r="C249">
        <v>1</v>
      </c>
      <c r="D249">
        <v>0</v>
      </c>
      <c r="G249">
        <v>0.41</v>
      </c>
      <c r="H249">
        <v>1</v>
      </c>
      <c r="I249">
        <v>0</v>
      </c>
    </row>
    <row r="251" spans="1:9" x14ac:dyDescent="0.25">
      <c r="A251" s="122" t="s">
        <v>21</v>
      </c>
      <c r="B251">
        <v>0</v>
      </c>
      <c r="C251">
        <v>0.35</v>
      </c>
      <c r="D251">
        <v>1</v>
      </c>
      <c r="F251" s="122" t="s">
        <v>21</v>
      </c>
      <c r="G251">
        <v>0</v>
      </c>
      <c r="H251">
        <v>0.38</v>
      </c>
      <c r="I251">
        <v>1</v>
      </c>
    </row>
    <row r="252" spans="1:9" x14ac:dyDescent="0.25">
      <c r="B252">
        <v>0.35</v>
      </c>
      <c r="C252">
        <v>0</v>
      </c>
      <c r="D252">
        <v>0.96</v>
      </c>
      <c r="G252">
        <v>0.38</v>
      </c>
      <c r="H252">
        <v>0</v>
      </c>
      <c r="I252">
        <v>0.93</v>
      </c>
    </row>
    <row r="253" spans="1:9" x14ac:dyDescent="0.25">
      <c r="B253">
        <v>1</v>
      </c>
      <c r="C253">
        <v>0.96</v>
      </c>
      <c r="D253">
        <v>0</v>
      </c>
      <c r="G253">
        <v>1</v>
      </c>
      <c r="H253">
        <v>0.93</v>
      </c>
      <c r="I253">
        <v>0</v>
      </c>
    </row>
    <row r="255" spans="1:9" x14ac:dyDescent="0.25">
      <c r="A255" s="122" t="s">
        <v>23</v>
      </c>
      <c r="B255">
        <v>0</v>
      </c>
      <c r="C255">
        <v>0.42</v>
      </c>
      <c r="D255">
        <v>0.57999999999999996</v>
      </c>
      <c r="F255" s="122" t="s">
        <v>23</v>
      </c>
      <c r="G255">
        <v>0</v>
      </c>
      <c r="H255">
        <v>0.47</v>
      </c>
      <c r="I255">
        <v>0.53</v>
      </c>
    </row>
    <row r="256" spans="1:9" x14ac:dyDescent="0.25">
      <c r="B256">
        <v>0.42</v>
      </c>
      <c r="C256">
        <v>0</v>
      </c>
      <c r="D256">
        <v>1</v>
      </c>
      <c r="G256">
        <v>0.47</v>
      </c>
      <c r="H256">
        <v>0</v>
      </c>
      <c r="I256">
        <v>1</v>
      </c>
    </row>
    <row r="257" spans="1:9" x14ac:dyDescent="0.25">
      <c r="B257">
        <v>0.57999999999999996</v>
      </c>
      <c r="C257">
        <v>1</v>
      </c>
      <c r="D257">
        <v>0</v>
      </c>
      <c r="G257">
        <v>0.53</v>
      </c>
      <c r="H257">
        <v>1</v>
      </c>
      <c r="I257">
        <v>0</v>
      </c>
    </row>
    <row r="259" spans="1:9" x14ac:dyDescent="0.25">
      <c r="A259" s="122" t="s">
        <v>24</v>
      </c>
      <c r="B259">
        <v>0</v>
      </c>
      <c r="C259">
        <v>1</v>
      </c>
      <c r="D259">
        <v>0.52</v>
      </c>
      <c r="F259" s="122" t="s">
        <v>24</v>
      </c>
      <c r="G259">
        <v>0</v>
      </c>
      <c r="H259">
        <v>1</v>
      </c>
      <c r="I259">
        <v>0.52</v>
      </c>
    </row>
    <row r="260" spans="1:9" x14ac:dyDescent="0.25">
      <c r="B260">
        <v>1</v>
      </c>
      <c r="C260">
        <v>0</v>
      </c>
      <c r="D260">
        <v>0.48</v>
      </c>
      <c r="G260">
        <v>1</v>
      </c>
      <c r="H260">
        <v>0</v>
      </c>
      <c r="I260">
        <v>0.48</v>
      </c>
    </row>
    <row r="261" spans="1:9" x14ac:dyDescent="0.25">
      <c r="B261">
        <v>0.52</v>
      </c>
      <c r="C261">
        <v>0.48</v>
      </c>
      <c r="D261">
        <v>0</v>
      </c>
      <c r="G261">
        <v>0.52</v>
      </c>
      <c r="H261">
        <v>0.48</v>
      </c>
      <c r="I261">
        <v>0</v>
      </c>
    </row>
    <row r="263" spans="1:9" x14ac:dyDescent="0.25">
      <c r="A263" s="254" t="s">
        <v>233</v>
      </c>
      <c r="B263" s="255"/>
      <c r="C263" s="255"/>
      <c r="D263" s="255"/>
      <c r="E263" s="255"/>
      <c r="F263" s="255"/>
      <c r="G263" s="255"/>
      <c r="H263" s="255"/>
      <c r="I263" s="255"/>
    </row>
    <row r="264" spans="1:9" x14ac:dyDescent="0.25">
      <c r="A264" s="251" t="s">
        <v>218</v>
      </c>
      <c r="B264" s="248"/>
      <c r="C264" s="248"/>
      <c r="D264" s="248"/>
      <c r="F264" s="122" t="s">
        <v>219</v>
      </c>
    </row>
    <row r="265" spans="1:9" x14ac:dyDescent="0.25">
      <c r="A265" s="166"/>
    </row>
    <row r="266" spans="1:9" x14ac:dyDescent="0.25">
      <c r="A266" s="122" t="s">
        <v>25</v>
      </c>
      <c r="B266" s="124">
        <f>$B$175*B180+(1-$B$175)*(1-B223)</f>
        <v>1</v>
      </c>
      <c r="C266" s="124">
        <f t="shared" ref="C266:D266" si="126">$B$175*C180+(1-$B$175)*(1-C223)</f>
        <v>0.49</v>
      </c>
      <c r="D266" s="124">
        <f t="shared" si="126"/>
        <v>0.20400000000000001</v>
      </c>
      <c r="F266" s="122" t="s">
        <v>25</v>
      </c>
      <c r="G266" s="124">
        <f>$B$175*G180+(1-$B$175)*(1-G223)</f>
        <v>1</v>
      </c>
      <c r="H266" s="124">
        <f t="shared" ref="H266:I266" si="127">$B$175*H180+(1-$B$175)*(1-H223)</f>
        <v>0.46599999999999997</v>
      </c>
      <c r="I266" s="124">
        <f t="shared" si="127"/>
        <v>0.17200000000000001</v>
      </c>
    </row>
    <row r="267" spans="1:9" x14ac:dyDescent="0.25">
      <c r="B267" s="124">
        <f t="shared" ref="B267:D268" si="128">$B$175*B181+(1-$B$175)*(1-B224)</f>
        <v>0.49</v>
      </c>
      <c r="C267" s="124">
        <f t="shared" si="128"/>
        <v>1</v>
      </c>
      <c r="D267" s="124">
        <f t="shared" si="128"/>
        <v>0.53400000000000003</v>
      </c>
      <c r="G267" s="124">
        <f t="shared" ref="G267:I267" si="129">$B$175*G181+(1-$B$175)*(1-G224)</f>
        <v>0.46599999999999997</v>
      </c>
      <c r="H267" s="124">
        <f t="shared" si="129"/>
        <v>1</v>
      </c>
      <c r="I267" s="124">
        <f t="shared" si="129"/>
        <v>0.57399999999999995</v>
      </c>
    </row>
    <row r="268" spans="1:9" x14ac:dyDescent="0.25">
      <c r="B268" s="124">
        <f t="shared" si="128"/>
        <v>0.20400000000000001</v>
      </c>
      <c r="C268" s="124">
        <f t="shared" si="128"/>
        <v>0.53400000000000003</v>
      </c>
      <c r="D268" s="124">
        <f>$B$175*D182+(1-$B$175)*(1-D225)</f>
        <v>1</v>
      </c>
      <c r="G268" s="124">
        <f t="shared" ref="G268:H268" si="130">$B$175*G182+(1-$B$175)*(1-G225)</f>
        <v>0.17200000000000001</v>
      </c>
      <c r="H268" s="124">
        <f t="shared" si="130"/>
        <v>0.57399999999999995</v>
      </c>
      <c r="I268" s="124">
        <f>$B$175*I182+(1-$B$175)*(1-I225)</f>
        <v>1</v>
      </c>
    </row>
    <row r="270" spans="1:9" x14ac:dyDescent="0.25">
      <c r="A270" s="122" t="s">
        <v>14</v>
      </c>
      <c r="B270" s="124">
        <f>$B$175*B184+(1-$B$175)*(1-B227)</f>
        <v>1</v>
      </c>
      <c r="C270" s="124">
        <f t="shared" ref="C270:D270" si="131">$B$175*C184+(1-$B$175)*(1-C227)</f>
        <v>0.48199999999999998</v>
      </c>
      <c r="D270" s="124">
        <f t="shared" si="131"/>
        <v>0.71000000000000008</v>
      </c>
      <c r="F270" s="122" t="s">
        <v>14</v>
      </c>
      <c r="G270" s="124">
        <f>$B$175*G184+(1-$B$175)*(1-G227)</f>
        <v>1</v>
      </c>
      <c r="H270" s="124">
        <f t="shared" ref="H270:I270" si="132">$B$175*H184+(1-$B$175)*(1-H227)</f>
        <v>0.47599999999999998</v>
      </c>
      <c r="I270" s="124">
        <f t="shared" si="132"/>
        <v>0.69200000000000006</v>
      </c>
    </row>
    <row r="271" spans="1:9" x14ac:dyDescent="0.25">
      <c r="B271" s="124">
        <f t="shared" ref="B271:D271" si="133">$B$175*B185+(1-$B$175)*(1-B228)</f>
        <v>0.48199999999999998</v>
      </c>
      <c r="C271" s="124">
        <f t="shared" si="133"/>
        <v>1</v>
      </c>
      <c r="D271" s="124">
        <f t="shared" si="133"/>
        <v>0.21600000000000003</v>
      </c>
      <c r="G271" s="124">
        <f t="shared" ref="G271:I271" si="134">$B$175*G185+(1-$B$175)*(1-G228)</f>
        <v>0.47599999999999998</v>
      </c>
      <c r="H271" s="124">
        <f t="shared" si="134"/>
        <v>1</v>
      </c>
      <c r="I271" s="124">
        <f t="shared" si="134"/>
        <v>0.20400000000000001</v>
      </c>
    </row>
    <row r="272" spans="1:9" x14ac:dyDescent="0.25">
      <c r="B272" s="124">
        <f t="shared" ref="B272:C272" si="135">$B$175*B186+(1-$B$175)*(1-B229)</f>
        <v>0.71000000000000008</v>
      </c>
      <c r="C272" s="124">
        <f t="shared" si="135"/>
        <v>0.21600000000000003</v>
      </c>
      <c r="D272" s="124">
        <f>$B$175*D186+(1-$B$175)*(1-D229)</f>
        <v>1</v>
      </c>
      <c r="G272" s="124">
        <f t="shared" ref="G272:H272" si="136">$B$175*G186+(1-$B$175)*(1-G229)</f>
        <v>0.69200000000000006</v>
      </c>
      <c r="H272" s="124">
        <f t="shared" si="136"/>
        <v>0.20400000000000001</v>
      </c>
      <c r="I272" s="124">
        <f>$B$175*I186+(1-$B$175)*(1-I229)</f>
        <v>1</v>
      </c>
    </row>
    <row r="274" spans="1:9" x14ac:dyDescent="0.25">
      <c r="A274" s="122" t="s">
        <v>15</v>
      </c>
      <c r="B274" s="124">
        <f>$B$175*B188+(1-$B$175)*(1-B231)</f>
        <v>1</v>
      </c>
      <c r="C274" s="124">
        <f t="shared" ref="C274:D274" si="137">$B$175*C188+(1-$B$175)*(1-C231)</f>
        <v>0.10800000000000001</v>
      </c>
      <c r="D274" s="124">
        <f t="shared" si="137"/>
        <v>0.76400000000000001</v>
      </c>
      <c r="F274" s="122" t="s">
        <v>15</v>
      </c>
      <c r="G274" s="124">
        <f>$B$175*G188+(1-$B$175)*(1-G231)</f>
        <v>1</v>
      </c>
      <c r="H274" s="124">
        <f t="shared" ref="H274:I274" si="138">$B$175*H188+(1-$B$175)*(1-H231)</f>
        <v>7.1999999999999995E-2</v>
      </c>
      <c r="I274" s="124">
        <f t="shared" si="138"/>
        <v>0.72799999999999998</v>
      </c>
    </row>
    <row r="275" spans="1:9" x14ac:dyDescent="0.25">
      <c r="B275" s="124">
        <f t="shared" ref="B275:D275" si="139">$B$175*B189+(1-$B$175)*(1-B232)</f>
        <v>0.10800000000000001</v>
      </c>
      <c r="C275" s="124">
        <f t="shared" si="139"/>
        <v>1</v>
      </c>
      <c r="D275" s="124">
        <f t="shared" si="139"/>
        <v>0.27999999999999997</v>
      </c>
      <c r="G275" s="124">
        <f t="shared" ref="G275:I275" si="140">$B$175*G189+(1-$B$175)*(1-G232)</f>
        <v>7.1999999999999995E-2</v>
      </c>
      <c r="H275" s="124">
        <f t="shared" si="140"/>
        <v>1</v>
      </c>
      <c r="I275" s="124">
        <f t="shared" si="140"/>
        <v>0.26400000000000001</v>
      </c>
    </row>
    <row r="276" spans="1:9" x14ac:dyDescent="0.25">
      <c r="B276" s="124">
        <f t="shared" ref="B276:C276" si="141">$B$175*B190+(1-$B$175)*(1-B233)</f>
        <v>0.76400000000000001</v>
      </c>
      <c r="C276" s="124">
        <f t="shared" si="141"/>
        <v>0.27999999999999997</v>
      </c>
      <c r="D276" s="124">
        <f>$B$175*D190+(1-$B$175)*(1-D233)</f>
        <v>1</v>
      </c>
      <c r="G276" s="124">
        <f t="shared" ref="G276:H276" si="142">$B$175*G190+(1-$B$175)*(1-G233)</f>
        <v>0.72799999999999998</v>
      </c>
      <c r="H276" s="124">
        <f t="shared" si="142"/>
        <v>0.26400000000000001</v>
      </c>
      <c r="I276" s="124">
        <f>$B$175*I190+(1-$B$175)*(1-I233)</f>
        <v>1</v>
      </c>
    </row>
    <row r="278" spans="1:9" x14ac:dyDescent="0.25">
      <c r="A278" s="122" t="s">
        <v>16</v>
      </c>
      <c r="B278" s="124">
        <f>$B$175*B192+(1-$B$175)*(1-B235)</f>
        <v>1</v>
      </c>
      <c r="C278" s="124">
        <f t="shared" ref="C278:D278" si="143">$B$175*C192+(1-$B$175)*(1-C235)</f>
        <v>0.71</v>
      </c>
      <c r="D278" s="124">
        <f t="shared" si="143"/>
        <v>0.28000000000000003</v>
      </c>
      <c r="F278" s="122" t="s">
        <v>16</v>
      </c>
      <c r="G278" s="124">
        <f>$B$175*G192+(1-$B$175)*(1-G235)</f>
        <v>1</v>
      </c>
      <c r="H278" s="124">
        <f t="shared" ref="H278:I278" si="144">$B$175*H192+(1-$B$175)*(1-H235)</f>
        <v>0.69399999999999995</v>
      </c>
      <c r="I278" s="124">
        <f t="shared" si="144"/>
        <v>0.246</v>
      </c>
    </row>
    <row r="279" spans="1:9" x14ac:dyDescent="0.25">
      <c r="B279" s="124">
        <f t="shared" ref="B279:D279" si="145">$B$175*B193+(1-$B$175)*(1-B236)</f>
        <v>0.71</v>
      </c>
      <c r="C279" s="124">
        <f t="shared" si="145"/>
        <v>1</v>
      </c>
      <c r="D279" s="124">
        <f t="shared" si="145"/>
        <v>8.0000000000000016E-2</v>
      </c>
      <c r="G279" s="124">
        <f t="shared" ref="G279:I279" si="146">$B$175*G193+(1-$B$175)*(1-G236)</f>
        <v>0.69399999999999995</v>
      </c>
      <c r="H279" s="124">
        <f t="shared" si="146"/>
        <v>1</v>
      </c>
      <c r="I279" s="124">
        <f t="shared" si="146"/>
        <v>5.2000000000000005E-2</v>
      </c>
    </row>
    <row r="280" spans="1:9" x14ac:dyDescent="0.25">
      <c r="B280" s="124">
        <f t="shared" ref="B280:C280" si="147">$B$175*B194+(1-$B$175)*(1-B237)</f>
        <v>0.28000000000000003</v>
      </c>
      <c r="C280" s="124">
        <f t="shared" si="147"/>
        <v>8.0000000000000016E-2</v>
      </c>
      <c r="D280" s="124">
        <f>$B$175*D194+(1-$B$175)*(1-D237)</f>
        <v>1</v>
      </c>
      <c r="G280" s="124">
        <f t="shared" ref="G280:H280" si="148">$B$175*G194+(1-$B$175)*(1-G237)</f>
        <v>0.246</v>
      </c>
      <c r="H280" s="124">
        <f t="shared" si="148"/>
        <v>5.2000000000000005E-2</v>
      </c>
      <c r="I280" s="124">
        <f>$B$175*I194+(1-$B$175)*(1-I237)</f>
        <v>1</v>
      </c>
    </row>
    <row r="282" spans="1:9" x14ac:dyDescent="0.25">
      <c r="A282" s="122" t="s">
        <v>18</v>
      </c>
      <c r="B282" s="124">
        <f>$B$175*B196+(1-$B$175)*(1-B239)</f>
        <v>1</v>
      </c>
      <c r="C282" s="124">
        <f t="shared" ref="C282:D282" si="149">$B$175*C196+(1-$B$175)*(1-C239)</f>
        <v>0.31999999999999995</v>
      </c>
      <c r="D282" s="124">
        <f t="shared" si="149"/>
        <v>0.626</v>
      </c>
      <c r="F282" s="122" t="s">
        <v>18</v>
      </c>
      <c r="G282" s="124">
        <f>$B$175*G196+(1-$B$175)*(1-G239)</f>
        <v>1</v>
      </c>
      <c r="H282" s="124">
        <f t="shared" ref="H282:I282" si="150">$B$175*H196+(1-$B$175)*(1-H239)</f>
        <v>0.27</v>
      </c>
      <c r="I282" s="124">
        <f t="shared" si="150"/>
        <v>0.626</v>
      </c>
    </row>
    <row r="283" spans="1:9" x14ac:dyDescent="0.25">
      <c r="B283" s="124">
        <f t="shared" ref="B283:D283" si="151">$B$175*B197+(1-$B$175)*(1-B240)</f>
        <v>0.31999999999999995</v>
      </c>
      <c r="C283" s="124">
        <f t="shared" si="151"/>
        <v>1</v>
      </c>
      <c r="D283" s="124">
        <f t="shared" si="151"/>
        <v>5.2000000000000005E-2</v>
      </c>
      <c r="G283" s="124">
        <f t="shared" ref="G283:I283" si="152">$B$175*G197+(1-$B$175)*(1-G240)</f>
        <v>0.27</v>
      </c>
      <c r="H283" s="124">
        <f t="shared" si="152"/>
        <v>1</v>
      </c>
      <c r="I283" s="124">
        <f t="shared" si="152"/>
        <v>2.8000000000000004E-2</v>
      </c>
    </row>
    <row r="284" spans="1:9" x14ac:dyDescent="0.25">
      <c r="B284" s="124">
        <f t="shared" ref="B284:C284" si="153">$B$175*B198+(1-$B$175)*(1-B241)</f>
        <v>0.626</v>
      </c>
      <c r="C284" s="124">
        <f t="shared" si="153"/>
        <v>5.2000000000000005E-2</v>
      </c>
      <c r="D284" s="124">
        <f>$B$175*D198+(1-$B$175)*(1-D241)</f>
        <v>1</v>
      </c>
      <c r="G284" s="124">
        <f t="shared" ref="G284:H284" si="154">$B$175*G198+(1-$B$175)*(1-G241)</f>
        <v>0.626</v>
      </c>
      <c r="H284" s="124">
        <f t="shared" si="154"/>
        <v>2.8000000000000004E-2</v>
      </c>
      <c r="I284" s="124">
        <f>$B$175*I198+(1-$B$175)*(1-I241)</f>
        <v>1</v>
      </c>
    </row>
    <row r="286" spans="1:9" x14ac:dyDescent="0.25">
      <c r="A286" s="122" t="s">
        <v>19</v>
      </c>
      <c r="B286" s="124">
        <f>$B$175*B200+(1-$B$175)*(1-B243)</f>
        <v>1</v>
      </c>
      <c r="C286" s="124">
        <f t="shared" ref="C286:D286" si="155">$B$175*C200+(1-$B$175)*(1-C243)</f>
        <v>0.46</v>
      </c>
      <c r="D286" s="124">
        <f t="shared" si="155"/>
        <v>0.37999999999999995</v>
      </c>
      <c r="F286" s="122" t="s">
        <v>19</v>
      </c>
      <c r="G286" s="124">
        <f>$B$175*G200+(1-$B$175)*(1-G243)</f>
        <v>1</v>
      </c>
      <c r="H286" s="124">
        <f t="shared" ref="H286:I286" si="156">$B$175*H200+(1-$B$175)*(1-H243)</f>
        <v>0.442</v>
      </c>
      <c r="I286" s="124">
        <f t="shared" si="156"/>
        <v>0.34</v>
      </c>
    </row>
    <row r="287" spans="1:9" x14ac:dyDescent="0.25">
      <c r="B287" s="124">
        <f t="shared" ref="B287:D287" si="157">$B$175*B201+(1-$B$175)*(1-B244)</f>
        <v>0.46</v>
      </c>
      <c r="C287" s="124">
        <f t="shared" si="157"/>
        <v>1</v>
      </c>
      <c r="D287" s="124">
        <f t="shared" si="157"/>
        <v>4.0000000000000008E-2</v>
      </c>
      <c r="G287" s="124">
        <f t="shared" ref="G287:I287" si="158">$B$175*G201+(1-$B$175)*(1-G244)</f>
        <v>0.442</v>
      </c>
      <c r="H287" s="124">
        <f t="shared" si="158"/>
        <v>1</v>
      </c>
      <c r="I287" s="124">
        <f t="shared" si="158"/>
        <v>2.0000000000000004E-2</v>
      </c>
    </row>
    <row r="288" spans="1:9" x14ac:dyDescent="0.25">
      <c r="B288" s="124">
        <f t="shared" ref="B288:C288" si="159">$B$175*B202+(1-$B$175)*(1-B245)</f>
        <v>0.37999999999999995</v>
      </c>
      <c r="C288" s="124">
        <f t="shared" si="159"/>
        <v>4.0000000000000008E-2</v>
      </c>
      <c r="D288" s="124">
        <f>$B$175*D202+(1-$B$175)*(1-D245)</f>
        <v>1</v>
      </c>
      <c r="G288" s="124">
        <f t="shared" ref="G288:H288" si="160">$B$175*G202+(1-$B$175)*(1-G245)</f>
        <v>0.34</v>
      </c>
      <c r="H288" s="124">
        <f t="shared" si="160"/>
        <v>2.0000000000000004E-2</v>
      </c>
      <c r="I288" s="124">
        <f>$B$175*I202+(1-$B$175)*(1-I245)</f>
        <v>1</v>
      </c>
    </row>
    <row r="290" spans="1:9" x14ac:dyDescent="0.25">
      <c r="A290" s="122" t="s">
        <v>20</v>
      </c>
      <c r="B290" s="124">
        <f>$B$175*B204+(1-$B$175)*(1-B247)</f>
        <v>1</v>
      </c>
      <c r="C290" s="124">
        <f t="shared" ref="C290:D290" si="161">$B$175*C204+(1-$B$175)*(1-C247)</f>
        <v>0.38800000000000001</v>
      </c>
      <c r="D290" s="124">
        <f t="shared" si="161"/>
        <v>0.57800000000000007</v>
      </c>
      <c r="F290" s="122" t="s">
        <v>20</v>
      </c>
      <c r="G290" s="124">
        <f>$B$175*G204+(1-$B$175)*(1-G247)</f>
        <v>1</v>
      </c>
      <c r="H290" s="124">
        <f t="shared" ref="H290:I290" si="162">$B$175*H204+(1-$B$175)*(1-H247)</f>
        <v>0.376</v>
      </c>
      <c r="I290" s="124">
        <f t="shared" si="162"/>
        <v>0.53800000000000003</v>
      </c>
    </row>
    <row r="291" spans="1:9" x14ac:dyDescent="0.25">
      <c r="B291" s="124">
        <f t="shared" ref="B291:D291" si="163">$B$175*B205+(1-$B$175)*(1-B248)</f>
        <v>0.38800000000000001</v>
      </c>
      <c r="C291" s="124">
        <f t="shared" si="163"/>
        <v>1</v>
      </c>
      <c r="D291" s="124">
        <f t="shared" si="163"/>
        <v>8.0000000000000016E-2</v>
      </c>
      <c r="G291" s="124">
        <f t="shared" ref="G291:I291" si="164">$B$175*G205+(1-$B$175)*(1-G248)</f>
        <v>0.376</v>
      </c>
      <c r="H291" s="124">
        <f t="shared" si="164"/>
        <v>1</v>
      </c>
      <c r="I291" s="124">
        <f t="shared" si="164"/>
        <v>5.2000000000000005E-2</v>
      </c>
    </row>
    <row r="292" spans="1:9" x14ac:dyDescent="0.25">
      <c r="B292" s="124">
        <f t="shared" ref="B292:C292" si="165">$B$175*B206+(1-$B$175)*(1-B249)</f>
        <v>0.57800000000000007</v>
      </c>
      <c r="C292" s="124">
        <f t="shared" si="165"/>
        <v>8.0000000000000016E-2</v>
      </c>
      <c r="D292" s="124">
        <f>$B$175*D206+(1-$B$175)*(1-D249)</f>
        <v>1</v>
      </c>
      <c r="G292" s="124">
        <f t="shared" ref="G292:H292" si="166">$B$175*G206+(1-$B$175)*(1-G249)</f>
        <v>0.53800000000000003</v>
      </c>
      <c r="H292" s="124">
        <f t="shared" si="166"/>
        <v>5.2000000000000005E-2</v>
      </c>
      <c r="I292" s="124">
        <f>$B$175*I206+(1-$B$175)*(1-I249)</f>
        <v>1</v>
      </c>
    </row>
    <row r="294" spans="1:9" x14ac:dyDescent="0.25">
      <c r="A294" s="122" t="s">
        <v>21</v>
      </c>
      <c r="B294" s="124">
        <f>$B$175*B208+(1-$B$175)*(1-B251)</f>
        <v>1</v>
      </c>
      <c r="C294" s="124">
        <f t="shared" ref="C294:D294" si="167">$B$175*C208+(1-$B$175)*(1-C251)</f>
        <v>0.73799999999999999</v>
      </c>
      <c r="D294" s="124">
        <f t="shared" si="167"/>
        <v>0.248</v>
      </c>
      <c r="F294" s="122" t="s">
        <v>21</v>
      </c>
      <c r="G294" s="124">
        <f>$B$175*G208+(1-$B$175)*(1-G251)</f>
        <v>1</v>
      </c>
      <c r="H294" s="124">
        <f t="shared" ref="H294:I294" si="168">$B$175*H208+(1-$B$175)*(1-H251)</f>
        <v>0.71199999999999997</v>
      </c>
      <c r="I294" s="124">
        <f t="shared" si="168"/>
        <v>0.22799999999999998</v>
      </c>
    </row>
    <row r="295" spans="1:9" x14ac:dyDescent="0.25">
      <c r="B295" s="124">
        <f t="shared" ref="B295:D295" si="169">$B$175*B209+(1-$B$175)*(1-B252)</f>
        <v>0.73799999999999999</v>
      </c>
      <c r="C295" s="124">
        <f t="shared" si="169"/>
        <v>1</v>
      </c>
      <c r="D295" s="124">
        <f t="shared" si="169"/>
        <v>0.28400000000000003</v>
      </c>
      <c r="G295" s="124">
        <f t="shared" ref="G295:I295" si="170">$B$175*G209+(1-$B$175)*(1-G252)</f>
        <v>0.71199999999999997</v>
      </c>
      <c r="H295" s="124">
        <f t="shared" si="170"/>
        <v>1</v>
      </c>
      <c r="I295" s="124">
        <f t="shared" si="170"/>
        <v>0.28599999999999998</v>
      </c>
    </row>
    <row r="296" spans="1:9" x14ac:dyDescent="0.25">
      <c r="B296" s="124">
        <f t="shared" ref="B296:C296" si="171">$B$175*B210+(1-$B$175)*(1-B253)</f>
        <v>0.248</v>
      </c>
      <c r="C296" s="124">
        <f t="shared" si="171"/>
        <v>0.28400000000000003</v>
      </c>
      <c r="D296" s="124">
        <f>$B$175*D210+(1-$B$175)*(1-D253)</f>
        <v>1</v>
      </c>
      <c r="G296" s="124">
        <f t="shared" ref="G296:H296" si="172">$B$175*G210+(1-$B$175)*(1-G253)</f>
        <v>0.22799999999999998</v>
      </c>
      <c r="H296" s="124">
        <f t="shared" si="172"/>
        <v>0.28599999999999998</v>
      </c>
      <c r="I296" s="124">
        <f>$B$175*I210+(1-$B$175)*(1-I253)</f>
        <v>1</v>
      </c>
    </row>
    <row r="298" spans="1:9" x14ac:dyDescent="0.25">
      <c r="A298" s="122" t="s">
        <v>23</v>
      </c>
      <c r="B298" s="124">
        <f>$B$175*B212+(1-$B$175)*(1-B255)</f>
        <v>1</v>
      </c>
      <c r="C298" s="124">
        <f t="shared" ref="C298:D298" si="173">$B$175*C212+(1-$B$175)*(1-C255)</f>
        <v>0.6080000000000001</v>
      </c>
      <c r="D298" s="124">
        <f t="shared" si="173"/>
        <v>0.48799999999999999</v>
      </c>
      <c r="F298" s="122" t="s">
        <v>23</v>
      </c>
      <c r="G298" s="124">
        <f>$B$175*G212+(1-$B$175)*(1-G255)</f>
        <v>1</v>
      </c>
      <c r="H298" s="124">
        <f t="shared" ref="H298:I298" si="174">$B$175*H212+(1-$B$175)*(1-H255)</f>
        <v>0.54200000000000004</v>
      </c>
      <c r="I298" s="124">
        <f t="shared" si="174"/>
        <v>0.50600000000000001</v>
      </c>
    </row>
    <row r="299" spans="1:9" x14ac:dyDescent="0.25">
      <c r="B299" s="124">
        <f t="shared" ref="B299:D299" si="175">$B$175*B213+(1-$B$175)*(1-B256)</f>
        <v>0.60000000000000009</v>
      </c>
      <c r="C299" s="124">
        <f t="shared" si="175"/>
        <v>1</v>
      </c>
      <c r="D299" s="124">
        <f t="shared" si="175"/>
        <v>0.13200000000000001</v>
      </c>
      <c r="G299" s="124">
        <f t="shared" ref="G299:I299" si="176">$B$175*G213+(1-$B$175)*(1-G256)</f>
        <v>0.54200000000000004</v>
      </c>
      <c r="H299" s="124">
        <f t="shared" si="176"/>
        <v>1</v>
      </c>
      <c r="I299" s="124">
        <f t="shared" si="176"/>
        <v>0.10400000000000001</v>
      </c>
    </row>
    <row r="300" spans="1:9" x14ac:dyDescent="0.25">
      <c r="B300" s="124">
        <f t="shared" ref="B300:C300" si="177">$B$175*B214+(1-$B$175)*(1-B257)</f>
        <v>0.48799999999999999</v>
      </c>
      <c r="C300" s="124">
        <f t="shared" si="177"/>
        <v>0.13200000000000001</v>
      </c>
      <c r="D300" s="124">
        <f>$B$175*D214+(1-$B$175)*(1-D257)</f>
        <v>1</v>
      </c>
      <c r="G300" s="124">
        <f t="shared" ref="G300:H300" si="178">$B$175*G214+(1-$B$175)*(1-G257)</f>
        <v>0.50600000000000001</v>
      </c>
      <c r="H300" s="124">
        <f t="shared" si="178"/>
        <v>0.10400000000000001</v>
      </c>
      <c r="I300" s="124">
        <f>$B$175*I214+(1-$B$175)*(1-I257)</f>
        <v>1</v>
      </c>
    </row>
    <row r="302" spans="1:9" x14ac:dyDescent="0.25">
      <c r="A302" s="122" t="s">
        <v>24</v>
      </c>
      <c r="B302" s="124">
        <f>$B$175*B216+(1-$B$175)*(1-B259)</f>
        <v>1</v>
      </c>
      <c r="C302" s="124">
        <f t="shared" ref="C302:D302" si="179">$B$175*C216+(1-$B$175)*(1-C259)</f>
        <v>0.11200000000000002</v>
      </c>
      <c r="D302" s="124">
        <f t="shared" si="179"/>
        <v>0.5</v>
      </c>
      <c r="F302" s="122" t="s">
        <v>24</v>
      </c>
      <c r="G302" s="124">
        <f>$B$175*G216+(1-$B$175)*(1-G259)</f>
        <v>1</v>
      </c>
      <c r="H302" s="124">
        <f t="shared" ref="H302:I302" si="180">$B$175*H216+(1-$B$175)*(1-H259)</f>
        <v>8.4000000000000005E-2</v>
      </c>
      <c r="I302" s="124">
        <f t="shared" si="180"/>
        <v>0.47599999999999998</v>
      </c>
    </row>
    <row r="303" spans="1:9" x14ac:dyDescent="0.25">
      <c r="B303" s="124">
        <f t="shared" ref="B303:D303" si="181">$B$175*B217+(1-$B$175)*(1-B260)</f>
        <v>0.11200000000000002</v>
      </c>
      <c r="C303" s="124">
        <f t="shared" si="181"/>
        <v>1</v>
      </c>
      <c r="D303" s="124">
        <f t="shared" si="181"/>
        <v>0.53600000000000003</v>
      </c>
      <c r="G303" s="124">
        <f t="shared" ref="G303:I303" si="182">$B$175*G217+(1-$B$175)*(1-G260)</f>
        <v>8.4000000000000005E-2</v>
      </c>
      <c r="H303" s="124">
        <f t="shared" si="182"/>
        <v>1</v>
      </c>
      <c r="I303" s="124">
        <f t="shared" si="182"/>
        <v>0.51200000000000001</v>
      </c>
    </row>
    <row r="304" spans="1:9" x14ac:dyDescent="0.25">
      <c r="B304" s="124">
        <f t="shared" ref="B304:C304" si="183">$B$175*B218+(1-$B$175)*(1-B261)</f>
        <v>0.5</v>
      </c>
      <c r="C304" s="124">
        <f t="shared" si="183"/>
        <v>0.53600000000000003</v>
      </c>
      <c r="D304" s="124">
        <f>$B$175*D218+(1-$B$175)*(1-D261)</f>
        <v>1</v>
      </c>
      <c r="G304" s="124">
        <f t="shared" ref="G304:H304" si="184">$B$175*G218+(1-$B$175)*(1-G261)</f>
        <v>0.47599999999999998</v>
      </c>
      <c r="H304" s="124">
        <f t="shared" si="184"/>
        <v>0.51200000000000001</v>
      </c>
      <c r="I304" s="124">
        <f>$B$175*I218+(1-$B$175)*(1-I261)</f>
        <v>1</v>
      </c>
    </row>
    <row r="307" spans="1:4" x14ac:dyDescent="0.25">
      <c r="A307" s="179" t="s">
        <v>234</v>
      </c>
      <c r="B307" s="180"/>
      <c r="C307" s="180"/>
      <c r="D307" s="180"/>
    </row>
    <row r="308" spans="1:4" x14ac:dyDescent="0.25">
      <c r="A308" s="166"/>
    </row>
    <row r="309" spans="1:4" x14ac:dyDescent="0.25">
      <c r="A309" s="122" t="s">
        <v>25</v>
      </c>
      <c r="B309" s="124">
        <f t="shared" ref="B309:D311" si="185">(B266+G266)/2</f>
        <v>1</v>
      </c>
      <c r="C309" s="124">
        <f t="shared" si="185"/>
        <v>0.47799999999999998</v>
      </c>
      <c r="D309" s="124">
        <f t="shared" si="185"/>
        <v>0.188</v>
      </c>
    </row>
    <row r="310" spans="1:4" x14ac:dyDescent="0.25">
      <c r="B310" s="124">
        <f t="shared" si="185"/>
        <v>0.47799999999999998</v>
      </c>
      <c r="C310" s="124">
        <f t="shared" si="185"/>
        <v>1</v>
      </c>
      <c r="D310" s="124">
        <f t="shared" si="185"/>
        <v>0.55400000000000005</v>
      </c>
    </row>
    <row r="311" spans="1:4" x14ac:dyDescent="0.25">
      <c r="B311" s="124">
        <f t="shared" si="185"/>
        <v>0.188</v>
      </c>
      <c r="C311" s="124">
        <f t="shared" si="185"/>
        <v>0.55400000000000005</v>
      </c>
      <c r="D311" s="124">
        <f t="shared" si="185"/>
        <v>1</v>
      </c>
    </row>
    <row r="313" spans="1:4" x14ac:dyDescent="0.25">
      <c r="A313" s="122" t="s">
        <v>14</v>
      </c>
      <c r="B313" s="124">
        <f t="shared" ref="B313:D315" si="186">(B270+G270)/2</f>
        <v>1</v>
      </c>
      <c r="C313" s="124">
        <f t="shared" si="186"/>
        <v>0.47899999999999998</v>
      </c>
      <c r="D313" s="124">
        <f t="shared" si="186"/>
        <v>0.70100000000000007</v>
      </c>
    </row>
    <row r="314" spans="1:4" x14ac:dyDescent="0.25">
      <c r="B314" s="124">
        <f t="shared" si="186"/>
        <v>0.47899999999999998</v>
      </c>
      <c r="C314" s="124">
        <f t="shared" si="186"/>
        <v>1</v>
      </c>
      <c r="D314" s="124">
        <f t="shared" si="186"/>
        <v>0.21000000000000002</v>
      </c>
    </row>
    <row r="315" spans="1:4" x14ac:dyDescent="0.25">
      <c r="B315" s="124">
        <f t="shared" si="186"/>
        <v>0.70100000000000007</v>
      </c>
      <c r="C315" s="124">
        <f t="shared" si="186"/>
        <v>0.21000000000000002</v>
      </c>
      <c r="D315" s="124">
        <f t="shared" si="186"/>
        <v>1</v>
      </c>
    </row>
    <row r="317" spans="1:4" x14ac:dyDescent="0.25">
      <c r="A317" s="122" t="s">
        <v>15</v>
      </c>
      <c r="B317" s="124">
        <f t="shared" ref="B317:D319" si="187">(B274+G274)/2</f>
        <v>1</v>
      </c>
      <c r="C317" s="124">
        <f t="shared" si="187"/>
        <v>0.09</v>
      </c>
      <c r="D317" s="124">
        <f t="shared" si="187"/>
        <v>0.746</v>
      </c>
    </row>
    <row r="318" spans="1:4" x14ac:dyDescent="0.25">
      <c r="B318" s="124">
        <f t="shared" si="187"/>
        <v>0.09</v>
      </c>
      <c r="C318" s="124">
        <f t="shared" si="187"/>
        <v>1</v>
      </c>
      <c r="D318" s="124">
        <f t="shared" si="187"/>
        <v>0.27200000000000002</v>
      </c>
    </row>
    <row r="319" spans="1:4" x14ac:dyDescent="0.25">
      <c r="B319" s="124">
        <f t="shared" si="187"/>
        <v>0.746</v>
      </c>
      <c r="C319" s="124">
        <f t="shared" si="187"/>
        <v>0.27200000000000002</v>
      </c>
      <c r="D319" s="124">
        <f t="shared" si="187"/>
        <v>1</v>
      </c>
    </row>
    <row r="321" spans="1:4" x14ac:dyDescent="0.25">
      <c r="A321" s="122" t="s">
        <v>16</v>
      </c>
      <c r="B321" s="124">
        <f t="shared" ref="B321:D323" si="188">(B278+G278)/2</f>
        <v>1</v>
      </c>
      <c r="C321" s="124">
        <f t="shared" si="188"/>
        <v>0.70199999999999996</v>
      </c>
      <c r="D321" s="124">
        <f t="shared" si="188"/>
        <v>0.26300000000000001</v>
      </c>
    </row>
    <row r="322" spans="1:4" x14ac:dyDescent="0.25">
      <c r="B322" s="124">
        <f t="shared" si="188"/>
        <v>0.70199999999999996</v>
      </c>
      <c r="C322" s="124">
        <f t="shared" si="188"/>
        <v>1</v>
      </c>
      <c r="D322" s="124">
        <f t="shared" si="188"/>
        <v>6.6000000000000003E-2</v>
      </c>
    </row>
    <row r="323" spans="1:4" x14ac:dyDescent="0.25">
      <c r="B323" s="124">
        <f t="shared" si="188"/>
        <v>0.26300000000000001</v>
      </c>
      <c r="C323" s="124">
        <f t="shared" si="188"/>
        <v>6.6000000000000003E-2</v>
      </c>
      <c r="D323" s="124">
        <f t="shared" si="188"/>
        <v>1</v>
      </c>
    </row>
    <row r="325" spans="1:4" x14ac:dyDescent="0.25">
      <c r="A325" s="122" t="s">
        <v>18</v>
      </c>
      <c r="B325" s="124">
        <f t="shared" ref="B325:D327" si="189">(B282+G282)/2</f>
        <v>1</v>
      </c>
      <c r="C325" s="124">
        <f t="shared" si="189"/>
        <v>0.29499999999999998</v>
      </c>
      <c r="D325" s="124">
        <f t="shared" si="189"/>
        <v>0.626</v>
      </c>
    </row>
    <row r="326" spans="1:4" x14ac:dyDescent="0.25">
      <c r="B326" s="124">
        <f t="shared" si="189"/>
        <v>0.29499999999999998</v>
      </c>
      <c r="C326" s="124">
        <f t="shared" si="189"/>
        <v>1</v>
      </c>
      <c r="D326" s="124">
        <f t="shared" si="189"/>
        <v>4.0000000000000008E-2</v>
      </c>
    </row>
    <row r="327" spans="1:4" x14ac:dyDescent="0.25">
      <c r="B327" s="124">
        <f t="shared" si="189"/>
        <v>0.626</v>
      </c>
      <c r="C327" s="124">
        <f t="shared" si="189"/>
        <v>4.0000000000000008E-2</v>
      </c>
      <c r="D327" s="124">
        <f t="shared" si="189"/>
        <v>1</v>
      </c>
    </row>
    <row r="329" spans="1:4" x14ac:dyDescent="0.25">
      <c r="A329" s="122" t="s">
        <v>19</v>
      </c>
      <c r="B329" s="124">
        <f t="shared" ref="B329:D331" si="190">(B286+G286)/2</f>
        <v>1</v>
      </c>
      <c r="C329" s="124">
        <f t="shared" si="190"/>
        <v>0.45100000000000001</v>
      </c>
      <c r="D329" s="124">
        <f t="shared" si="190"/>
        <v>0.36</v>
      </c>
    </row>
    <row r="330" spans="1:4" x14ac:dyDescent="0.25">
      <c r="B330" s="124">
        <f t="shared" si="190"/>
        <v>0.45100000000000001</v>
      </c>
      <c r="C330" s="124">
        <f t="shared" si="190"/>
        <v>1</v>
      </c>
      <c r="D330" s="124">
        <f t="shared" si="190"/>
        <v>3.0000000000000006E-2</v>
      </c>
    </row>
    <row r="331" spans="1:4" x14ac:dyDescent="0.25">
      <c r="B331" s="124">
        <f t="shared" si="190"/>
        <v>0.36</v>
      </c>
      <c r="C331" s="124">
        <f t="shared" si="190"/>
        <v>3.0000000000000006E-2</v>
      </c>
      <c r="D331" s="124">
        <f t="shared" si="190"/>
        <v>1</v>
      </c>
    </row>
    <row r="333" spans="1:4" x14ac:dyDescent="0.25">
      <c r="A333" s="122" t="s">
        <v>20</v>
      </c>
      <c r="B333" s="124">
        <f t="shared" ref="B333:D335" si="191">(B290+G290)/2</f>
        <v>1</v>
      </c>
      <c r="C333" s="124">
        <f t="shared" si="191"/>
        <v>0.38200000000000001</v>
      </c>
      <c r="D333" s="124">
        <f t="shared" si="191"/>
        <v>0.55800000000000005</v>
      </c>
    </row>
    <row r="334" spans="1:4" x14ac:dyDescent="0.25">
      <c r="B334" s="124">
        <f t="shared" si="191"/>
        <v>0.38200000000000001</v>
      </c>
      <c r="C334" s="124">
        <f t="shared" si="191"/>
        <v>1</v>
      </c>
      <c r="D334" s="124">
        <f t="shared" si="191"/>
        <v>6.6000000000000003E-2</v>
      </c>
    </row>
    <row r="335" spans="1:4" x14ac:dyDescent="0.25">
      <c r="B335" s="124">
        <f t="shared" si="191"/>
        <v>0.55800000000000005</v>
      </c>
      <c r="C335" s="124">
        <f t="shared" si="191"/>
        <v>6.6000000000000003E-2</v>
      </c>
      <c r="D335" s="124">
        <f t="shared" si="191"/>
        <v>1</v>
      </c>
    </row>
    <row r="337" spans="1:10" x14ac:dyDescent="0.25">
      <c r="A337" s="122" t="s">
        <v>21</v>
      </c>
      <c r="B337" s="124">
        <f t="shared" ref="B337:D339" si="192">(B294+G294)/2</f>
        <v>1</v>
      </c>
      <c r="C337" s="124">
        <f t="shared" si="192"/>
        <v>0.72499999999999998</v>
      </c>
      <c r="D337" s="124">
        <f t="shared" si="192"/>
        <v>0.23799999999999999</v>
      </c>
    </row>
    <row r="338" spans="1:10" x14ac:dyDescent="0.25">
      <c r="B338" s="124">
        <f t="shared" si="192"/>
        <v>0.72499999999999998</v>
      </c>
      <c r="C338" s="124">
        <f t="shared" si="192"/>
        <v>1</v>
      </c>
      <c r="D338" s="124">
        <f t="shared" si="192"/>
        <v>0.28500000000000003</v>
      </c>
    </row>
    <row r="339" spans="1:10" x14ac:dyDescent="0.25">
      <c r="B339" s="124">
        <f t="shared" si="192"/>
        <v>0.23799999999999999</v>
      </c>
      <c r="C339" s="124">
        <f t="shared" si="192"/>
        <v>0.28500000000000003</v>
      </c>
      <c r="D339" s="124">
        <f t="shared" si="192"/>
        <v>1</v>
      </c>
    </row>
    <row r="341" spans="1:10" x14ac:dyDescent="0.25">
      <c r="A341" s="122" t="s">
        <v>23</v>
      </c>
      <c r="B341" s="124">
        <f t="shared" ref="B341:D343" si="193">(B298+G298)/2</f>
        <v>1</v>
      </c>
      <c r="C341" s="124">
        <f t="shared" si="193"/>
        <v>0.57500000000000007</v>
      </c>
      <c r="D341" s="124">
        <f t="shared" si="193"/>
        <v>0.497</v>
      </c>
    </row>
    <row r="342" spans="1:10" x14ac:dyDescent="0.25">
      <c r="B342" s="124">
        <f t="shared" si="193"/>
        <v>0.57100000000000006</v>
      </c>
      <c r="C342" s="124">
        <f t="shared" si="193"/>
        <v>1</v>
      </c>
      <c r="D342" s="124">
        <f t="shared" si="193"/>
        <v>0.11800000000000001</v>
      </c>
    </row>
    <row r="343" spans="1:10" x14ac:dyDescent="0.25">
      <c r="B343" s="124">
        <f t="shared" si="193"/>
        <v>0.497</v>
      </c>
      <c r="C343" s="124">
        <f t="shared" si="193"/>
        <v>0.11800000000000001</v>
      </c>
      <c r="D343" s="124">
        <f t="shared" si="193"/>
        <v>1</v>
      </c>
    </row>
    <row r="345" spans="1:10" x14ac:dyDescent="0.25">
      <c r="A345" s="122" t="s">
        <v>24</v>
      </c>
      <c r="B345" s="124">
        <f t="shared" ref="B345:D347" si="194">(B302+G302)/2</f>
        <v>1</v>
      </c>
      <c r="C345" s="124">
        <f t="shared" si="194"/>
        <v>9.8000000000000004E-2</v>
      </c>
      <c r="D345" s="124">
        <f t="shared" si="194"/>
        <v>0.48799999999999999</v>
      </c>
    </row>
    <row r="346" spans="1:10" x14ac:dyDescent="0.25">
      <c r="B346" s="124">
        <f t="shared" si="194"/>
        <v>9.8000000000000004E-2</v>
      </c>
      <c r="C346" s="124">
        <f t="shared" si="194"/>
        <v>1</v>
      </c>
      <c r="D346" s="124">
        <f t="shared" si="194"/>
        <v>0.52400000000000002</v>
      </c>
    </row>
    <row r="347" spans="1:10" x14ac:dyDescent="0.25">
      <c r="B347" s="124">
        <f t="shared" si="194"/>
        <v>0.48799999999999999</v>
      </c>
      <c r="C347" s="124">
        <f t="shared" si="194"/>
        <v>0.52400000000000002</v>
      </c>
      <c r="D347" s="124">
        <f t="shared" si="194"/>
        <v>1</v>
      </c>
    </row>
    <row r="348" spans="1:10" x14ac:dyDescent="0.25">
      <c r="B348" s="163"/>
      <c r="C348" s="163"/>
      <c r="D348" s="163"/>
    </row>
    <row r="349" spans="1:10" x14ac:dyDescent="0.25">
      <c r="A349" s="166" t="s">
        <v>205</v>
      </c>
      <c r="B349" s="164"/>
      <c r="C349" s="164"/>
      <c r="D349" s="164"/>
      <c r="E349" s="164"/>
    </row>
    <row r="350" spans="1:10" s="132" customFormat="1" x14ac:dyDescent="0.25">
      <c r="A350" s="133" t="s">
        <v>113</v>
      </c>
      <c r="B350" s="133" t="s">
        <v>107</v>
      </c>
      <c r="C350" s="133" t="s">
        <v>108</v>
      </c>
      <c r="D350" s="133" t="s">
        <v>134</v>
      </c>
      <c r="F350"/>
      <c r="G350"/>
      <c r="H350"/>
      <c r="I350"/>
      <c r="J350"/>
    </row>
    <row r="351" spans="1:10" x14ac:dyDescent="0.25">
      <c r="A351" s="2" t="s">
        <v>25</v>
      </c>
      <c r="B351" s="123">
        <f>B309*$C$167+B310*$C$168+B311*$C$169</f>
        <v>0.51860000000000006</v>
      </c>
      <c r="C351" s="123">
        <f>C309*$C$167+C310*$C$168+C311*$C$169</f>
        <v>0.66500000000000004</v>
      </c>
      <c r="D351" s="123">
        <f>D309*$C$167+D310*$C$168+D311*$C$169</f>
        <v>0.62260000000000004</v>
      </c>
    </row>
    <row r="352" spans="1:10" x14ac:dyDescent="0.25">
      <c r="A352" s="2" t="s">
        <v>14</v>
      </c>
      <c r="B352" s="123">
        <f>B313*$C$167+B314*$C$168+B315*$C$169</f>
        <v>0.72409999999999997</v>
      </c>
      <c r="C352" s="123">
        <f t="shared" ref="C352:D352" si="195">C313*$C$167+C314*$C$168+C315*$C$169</f>
        <v>0.52770000000000006</v>
      </c>
      <c r="D352" s="123">
        <f t="shared" si="195"/>
        <v>0.67330000000000001</v>
      </c>
    </row>
    <row r="353" spans="1:5" x14ac:dyDescent="0.25">
      <c r="A353" s="2" t="s">
        <v>15</v>
      </c>
      <c r="B353" s="123">
        <f>B317*$C$167+B318*$C$168+B319*$C$169</f>
        <v>0.62539999999999996</v>
      </c>
      <c r="C353" s="123">
        <f>C317*$C$167+C318*$C$168+C319*$C$169</f>
        <v>0.43580000000000002</v>
      </c>
      <c r="D353" s="123">
        <f>D317*$C$167+D318*$C$168+D319*$C$169</f>
        <v>0.70540000000000003</v>
      </c>
    </row>
    <row r="354" spans="1:5" x14ac:dyDescent="0.25">
      <c r="A354" s="2" t="s">
        <v>16</v>
      </c>
      <c r="B354" s="123">
        <f>B321*$C$167+B322*$C$168+B323*$C$169</f>
        <v>0.6157999999999999</v>
      </c>
      <c r="C354" s="123">
        <f>C321*$C$167+C322*$C$168+C323*$C$169</f>
        <v>0.53699999999999992</v>
      </c>
      <c r="D354" s="123">
        <f>D321*$C$167+D322*$C$168+D323*$C$169</f>
        <v>0.49870000000000003</v>
      </c>
    </row>
    <row r="355" spans="1:5" x14ac:dyDescent="0.25">
      <c r="A355" s="2" t="s">
        <v>18</v>
      </c>
      <c r="B355" s="123">
        <f>B325*$C$167+B326*$C$168+B327*$C$169</f>
        <v>0.63890000000000002</v>
      </c>
      <c r="C355" s="123">
        <f>C325*$C$167+C326*$C$168+C327*$C$169</f>
        <v>0.40449999999999997</v>
      </c>
      <c r="D355" s="123">
        <f>D325*$C$167+D326*$C$168+D327*$C$169</f>
        <v>0.5998</v>
      </c>
    </row>
    <row r="356" spans="1:5" x14ac:dyDescent="0.25">
      <c r="A356" s="2" t="s">
        <v>19</v>
      </c>
      <c r="B356" s="123">
        <f>B329*$C$167+B330*$C$168+B331*$C$169</f>
        <v>0.57930000000000004</v>
      </c>
      <c r="C356" s="123">
        <f>C329*$C$167+C330*$C$168+C331*$C$169</f>
        <v>0.44730000000000003</v>
      </c>
      <c r="D356" s="123">
        <f>D329*$C$167+D330*$C$168+D331*$C$169</f>
        <v>0.51700000000000002</v>
      </c>
    </row>
    <row r="357" spans="1:5" x14ac:dyDescent="0.25">
      <c r="A357" s="2" t="s">
        <v>20</v>
      </c>
      <c r="B357" s="123">
        <f>B333*$C$167+B334*$C$168+B335*$C$169</f>
        <v>0.63780000000000003</v>
      </c>
      <c r="C357" s="123">
        <f>C333*$C$167+C334*$C$168+C335*$C$169</f>
        <v>0.44099999999999995</v>
      </c>
      <c r="D357" s="123">
        <f>D333*$C$167+D334*$C$168+D335*$C$169</f>
        <v>0.58720000000000006</v>
      </c>
    </row>
    <row r="358" spans="1:5" x14ac:dyDescent="0.25">
      <c r="A358" s="2" t="s">
        <v>21</v>
      </c>
      <c r="B358" s="123">
        <f>B337*$C$167+B338*$C$168+B339*$C$169</f>
        <v>0.61270000000000002</v>
      </c>
      <c r="C358" s="123">
        <f>C337*$C$167+C338*$C$168+C339*$C$169</f>
        <v>0.63149999999999995</v>
      </c>
      <c r="D358" s="123">
        <f>D337*$C$167+D338*$C$168+D339*$C$169</f>
        <v>0.55689999999999995</v>
      </c>
    </row>
    <row r="359" spans="1:5" x14ac:dyDescent="0.25">
      <c r="A359" s="2" t="s">
        <v>23</v>
      </c>
      <c r="B359" s="123">
        <f>B341*$C$167+B342*$C$168+B343*$C$169</f>
        <v>0.67010000000000003</v>
      </c>
      <c r="C359" s="123">
        <f>C341*$C$167+C342*$C$168+C343*$C$169</f>
        <v>0.51970000000000005</v>
      </c>
      <c r="D359" s="123">
        <f>D341*$C$167+D342*$C$168+D343*$C$169</f>
        <v>0.58450000000000002</v>
      </c>
    </row>
    <row r="360" spans="1:5" x14ac:dyDescent="0.25">
      <c r="A360" s="2" t="s">
        <v>24</v>
      </c>
      <c r="B360" s="123">
        <f>B345*$C$167+B346*$C$168+B347*$C$169</f>
        <v>0.52459999999999996</v>
      </c>
      <c r="C360" s="123">
        <f>C345*$C$167+C346*$C$168+C347*$C$169</f>
        <v>0.53899999999999992</v>
      </c>
      <c r="D360" s="123">
        <f>D345*$C$167+D346*$C$168+D347*$C$169</f>
        <v>0.7036</v>
      </c>
    </row>
    <row r="362" spans="1:5" x14ac:dyDescent="0.25">
      <c r="A362" s="166" t="s">
        <v>206</v>
      </c>
    </row>
    <row r="363" spans="1:5" x14ac:dyDescent="0.25">
      <c r="A363" s="86" t="s">
        <v>113</v>
      </c>
      <c r="B363" s="3" t="s">
        <v>107</v>
      </c>
      <c r="C363" s="3" t="s">
        <v>108</v>
      </c>
      <c r="D363" s="3" t="s">
        <v>134</v>
      </c>
      <c r="E363" s="126" t="s">
        <v>159</v>
      </c>
    </row>
    <row r="364" spans="1:5" x14ac:dyDescent="0.25">
      <c r="A364" s="41" t="s">
        <v>25</v>
      </c>
      <c r="B364" s="123">
        <f t="shared" ref="B364:D373" si="196">B351/SUM($B351:$D351)</f>
        <v>0.28712213486878529</v>
      </c>
      <c r="C364" s="123">
        <f t="shared" si="196"/>
        <v>0.36817628169637912</v>
      </c>
      <c r="D364" s="123">
        <f t="shared" si="196"/>
        <v>0.34470158343483553</v>
      </c>
      <c r="E364" s="125">
        <f>SUM(B364:D364)</f>
        <v>1</v>
      </c>
    </row>
    <row r="365" spans="1:5" x14ac:dyDescent="0.25">
      <c r="A365" s="41" t="s">
        <v>14</v>
      </c>
      <c r="B365" s="123">
        <f t="shared" si="196"/>
        <v>0.37613630460755282</v>
      </c>
      <c r="C365" s="123">
        <f t="shared" si="196"/>
        <v>0.27411563035686459</v>
      </c>
      <c r="D365" s="123">
        <f t="shared" si="196"/>
        <v>0.34974806503558259</v>
      </c>
      <c r="E365" s="125">
        <f t="shared" ref="E365:E373" si="197">SUM(B365:D365)</f>
        <v>1</v>
      </c>
    </row>
    <row r="366" spans="1:5" x14ac:dyDescent="0.25">
      <c r="A366" s="41" t="s">
        <v>15</v>
      </c>
      <c r="B366" s="123">
        <f t="shared" si="196"/>
        <v>0.35401335899467901</v>
      </c>
      <c r="C366" s="123">
        <f t="shared" si="196"/>
        <v>0.24668855428506739</v>
      </c>
      <c r="D366" s="123">
        <f t="shared" si="196"/>
        <v>0.39929808672025363</v>
      </c>
      <c r="E366" s="125">
        <f t="shared" si="197"/>
        <v>1</v>
      </c>
    </row>
    <row r="367" spans="1:5" x14ac:dyDescent="0.25">
      <c r="A367" s="41" t="s">
        <v>16</v>
      </c>
      <c r="B367" s="123">
        <f t="shared" si="196"/>
        <v>0.3728731456251892</v>
      </c>
      <c r="C367" s="123">
        <f t="shared" si="196"/>
        <v>0.32515894641235238</v>
      </c>
      <c r="D367" s="123">
        <f t="shared" si="196"/>
        <v>0.30196790796245837</v>
      </c>
      <c r="E367" s="125">
        <f t="shared" si="197"/>
        <v>1</v>
      </c>
    </row>
    <row r="368" spans="1:5" x14ac:dyDescent="0.25">
      <c r="A368" s="41" t="s">
        <v>18</v>
      </c>
      <c r="B368" s="123">
        <f t="shared" si="196"/>
        <v>0.38881450827653358</v>
      </c>
      <c r="C368" s="123">
        <f t="shared" si="196"/>
        <v>0.24616601752677697</v>
      </c>
      <c r="D368" s="123">
        <f t="shared" si="196"/>
        <v>0.36501947419668934</v>
      </c>
      <c r="E368" s="125">
        <f t="shared" si="197"/>
        <v>0.99999999999999989</v>
      </c>
    </row>
    <row r="369" spans="1:25" x14ac:dyDescent="0.25">
      <c r="A369" s="41" t="s">
        <v>19</v>
      </c>
      <c r="B369" s="123">
        <f t="shared" si="196"/>
        <v>0.37529152630215085</v>
      </c>
      <c r="C369" s="123">
        <f t="shared" si="196"/>
        <v>0.28977714433791141</v>
      </c>
      <c r="D369" s="123">
        <f t="shared" si="196"/>
        <v>0.3349313293599378</v>
      </c>
      <c r="E369" s="125">
        <f t="shared" si="197"/>
        <v>1</v>
      </c>
    </row>
    <row r="370" spans="1:25" x14ac:dyDescent="0.25">
      <c r="A370" s="41" t="s">
        <v>20</v>
      </c>
      <c r="B370" s="123">
        <f t="shared" si="196"/>
        <v>0.38283313325330137</v>
      </c>
      <c r="C370" s="123">
        <f t="shared" si="196"/>
        <v>0.26470588235294118</v>
      </c>
      <c r="D370" s="123">
        <f t="shared" si="196"/>
        <v>0.35246098439375756</v>
      </c>
      <c r="E370" s="125">
        <f t="shared" si="197"/>
        <v>1.0000000000000002</v>
      </c>
    </row>
    <row r="371" spans="1:25" x14ac:dyDescent="0.25">
      <c r="A371" s="41" t="s">
        <v>21</v>
      </c>
      <c r="B371" s="123">
        <f t="shared" si="196"/>
        <v>0.34018100049969469</v>
      </c>
      <c r="C371" s="123">
        <f t="shared" si="196"/>
        <v>0.35061906612625615</v>
      </c>
      <c r="D371" s="123">
        <f t="shared" si="196"/>
        <v>0.30919993337404916</v>
      </c>
      <c r="E371" s="125">
        <f t="shared" si="197"/>
        <v>1</v>
      </c>
    </row>
    <row r="372" spans="1:25" x14ac:dyDescent="0.25">
      <c r="A372" s="41" t="s">
        <v>23</v>
      </c>
      <c r="B372" s="123">
        <f t="shared" si="196"/>
        <v>0.37767006706870315</v>
      </c>
      <c r="C372" s="123">
        <f t="shared" si="196"/>
        <v>0.29290424392718256</v>
      </c>
      <c r="D372" s="123">
        <f t="shared" si="196"/>
        <v>0.32942568900411429</v>
      </c>
      <c r="E372" s="125">
        <f t="shared" si="197"/>
        <v>1</v>
      </c>
    </row>
    <row r="373" spans="1:25" x14ac:dyDescent="0.25">
      <c r="A373" s="41" t="s">
        <v>24</v>
      </c>
      <c r="B373" s="123">
        <f t="shared" si="196"/>
        <v>0.29685377999094614</v>
      </c>
      <c r="C373" s="123">
        <f t="shared" si="196"/>
        <v>0.30500226346763237</v>
      </c>
      <c r="D373" s="123">
        <f t="shared" si="196"/>
        <v>0.39814395654142148</v>
      </c>
      <c r="E373" s="125">
        <f t="shared" si="197"/>
        <v>1</v>
      </c>
    </row>
    <row r="374" spans="1:25" x14ac:dyDescent="0.25">
      <c r="A374" s="122"/>
    </row>
    <row r="376" spans="1:25" ht="15.75" thickBot="1" x14ac:dyDescent="0.3">
      <c r="A376" s="1" t="s">
        <v>178</v>
      </c>
    </row>
    <row r="377" spans="1:25" ht="15.75" thickBot="1" x14ac:dyDescent="0.3">
      <c r="A377" s="233" t="s">
        <v>27</v>
      </c>
      <c r="B377" s="229" t="s">
        <v>136</v>
      </c>
      <c r="C377" s="235"/>
      <c r="D377" s="235"/>
      <c r="E377" s="235"/>
      <c r="F377" s="235"/>
      <c r="G377" s="235"/>
      <c r="H377" s="235"/>
      <c r="I377" s="236"/>
      <c r="J377" s="229" t="s">
        <v>137</v>
      </c>
      <c r="K377" s="235"/>
      <c r="L377" s="235"/>
      <c r="M377" s="235"/>
      <c r="N377" s="235"/>
      <c r="O377" s="235"/>
      <c r="P377" s="235"/>
      <c r="Q377" s="236"/>
      <c r="R377" s="229" t="s">
        <v>138</v>
      </c>
      <c r="S377" s="235"/>
      <c r="T377" s="235"/>
      <c r="U377" s="235"/>
      <c r="V377" s="235"/>
      <c r="W377" s="235"/>
      <c r="X377" s="235"/>
      <c r="Y377" s="236"/>
    </row>
    <row r="378" spans="1:25" ht="33.75" customHeight="1" thickBot="1" x14ac:dyDescent="0.3">
      <c r="A378" s="234"/>
      <c r="B378" s="226" t="s">
        <v>3</v>
      </c>
      <c r="C378" s="227"/>
      <c r="D378" s="227"/>
      <c r="E378" s="228"/>
      <c r="F378" s="229" t="s">
        <v>4</v>
      </c>
      <c r="G378" s="227"/>
      <c r="H378" s="227"/>
      <c r="I378" s="228"/>
      <c r="J378" s="226" t="s">
        <v>3</v>
      </c>
      <c r="K378" s="227"/>
      <c r="L378" s="227"/>
      <c r="M378" s="228"/>
      <c r="N378" s="229" t="s">
        <v>4</v>
      </c>
      <c r="O378" s="227"/>
      <c r="P378" s="227"/>
      <c r="Q378" s="228"/>
      <c r="R378" s="226" t="s">
        <v>3</v>
      </c>
      <c r="S378" s="227"/>
      <c r="T378" s="227"/>
      <c r="U378" s="228"/>
      <c r="V378" s="229" t="s">
        <v>4</v>
      </c>
      <c r="W378" s="227"/>
      <c r="X378" s="227"/>
      <c r="Y378" s="228"/>
    </row>
    <row r="379" spans="1:25" x14ac:dyDescent="0.25">
      <c r="A379" s="102" t="s">
        <v>25</v>
      </c>
      <c r="B379" s="6">
        <f t="shared" ref="B379:B388" si="198">BG14</f>
        <v>6.4600000000000009</v>
      </c>
      <c r="C379" s="7">
        <f t="shared" ref="C379:C388" si="199">BH14</f>
        <v>12.6</v>
      </c>
      <c r="D379" s="7">
        <f t="shared" ref="D379:D388" si="200">BI14</f>
        <v>15.81</v>
      </c>
      <c r="E379" s="8">
        <f t="shared" ref="E379:E388" si="201">BJ14</f>
        <v>20.655000000000001</v>
      </c>
      <c r="F379" s="6">
        <f t="shared" ref="F379:F388" si="202">BK14</f>
        <v>8.3199999999999985</v>
      </c>
      <c r="G379" s="7">
        <f t="shared" ref="G379:G388" si="203">BL14</f>
        <v>12.6</v>
      </c>
      <c r="H379" s="7">
        <f t="shared" ref="H379:H388" si="204">BM14</f>
        <v>15.81</v>
      </c>
      <c r="I379" s="100">
        <f t="shared" ref="I379:I388" si="205">BN14</f>
        <v>19.03</v>
      </c>
      <c r="J379" s="6">
        <f t="shared" ref="J379:J388" si="206">BG66</f>
        <v>4.22</v>
      </c>
      <c r="K379" s="7">
        <f t="shared" ref="K379:K388" si="207">BH66</f>
        <v>9.89</v>
      </c>
      <c r="L379" s="7">
        <f t="shared" ref="L379:L388" si="208">BI66</f>
        <v>15.18</v>
      </c>
      <c r="M379" s="8">
        <f t="shared" ref="M379:M388" si="209">BJ66</f>
        <v>21.215000000000003</v>
      </c>
      <c r="N379" s="6">
        <f t="shared" ref="N379:N388" si="210">BK66</f>
        <v>5.6749999999999989</v>
      </c>
      <c r="O379" s="7">
        <f t="shared" ref="O379:O388" si="211">BL66</f>
        <v>9.89</v>
      </c>
      <c r="P379" s="7">
        <f t="shared" ref="P379:P388" si="212">BM66</f>
        <v>15.18</v>
      </c>
      <c r="Q379" s="8">
        <f t="shared" ref="Q379:Q388" si="213">BN66</f>
        <v>19.23</v>
      </c>
      <c r="R379" s="6">
        <f t="shared" ref="R379:R388" si="214">BG118</f>
        <v>5.0450000000000008</v>
      </c>
      <c r="S379" s="7">
        <f t="shared" ref="S379:S388" si="215">BH118</f>
        <v>9.9149999999999991</v>
      </c>
      <c r="T379" s="7">
        <f t="shared" ref="T379:T388" si="216">BI118</f>
        <v>13.555</v>
      </c>
      <c r="U379" s="8">
        <f t="shared" ref="U379:U388" si="217">BJ118</f>
        <v>18.465</v>
      </c>
      <c r="V379" s="6">
        <f t="shared" ref="V379:V388" si="218">BK118</f>
        <v>6.4289999999999994</v>
      </c>
      <c r="W379" s="7">
        <f t="shared" ref="W379:W388" si="219">BL118</f>
        <v>9.9149999999999991</v>
      </c>
      <c r="X379" s="7">
        <f t="shared" ref="X379:X388" si="220">BM118</f>
        <v>13.555</v>
      </c>
      <c r="Y379" s="8">
        <f t="shared" ref="Y379:Y388" si="221">BN118</f>
        <v>16.830000000000002</v>
      </c>
    </row>
    <row r="380" spans="1:25" x14ac:dyDescent="0.25">
      <c r="A380" s="98" t="s">
        <v>14</v>
      </c>
      <c r="B380" s="4">
        <f t="shared" si="198"/>
        <v>1.1550000000000002</v>
      </c>
      <c r="C380" s="2">
        <f t="shared" si="199"/>
        <v>4.4550000000000001</v>
      </c>
      <c r="D380" s="2">
        <f t="shared" si="200"/>
        <v>9.0749999999999993</v>
      </c>
      <c r="E380" s="5">
        <f t="shared" si="201"/>
        <v>14.025</v>
      </c>
      <c r="F380" s="4">
        <f t="shared" si="202"/>
        <v>1.8190000000000008</v>
      </c>
      <c r="G380" s="2">
        <f t="shared" si="203"/>
        <v>4.4550000000000001</v>
      </c>
      <c r="H380" s="2">
        <f t="shared" si="204"/>
        <v>9.0749999999999993</v>
      </c>
      <c r="I380" s="94">
        <f t="shared" si="205"/>
        <v>12.430000000000003</v>
      </c>
      <c r="J380" s="4">
        <f t="shared" si="206"/>
        <v>1.1550000000000002</v>
      </c>
      <c r="K380" s="2">
        <f t="shared" si="207"/>
        <v>5.5550000000000006</v>
      </c>
      <c r="L380" s="2">
        <f t="shared" si="208"/>
        <v>11.275</v>
      </c>
      <c r="M380" s="5">
        <f t="shared" si="209"/>
        <v>16.775000000000002</v>
      </c>
      <c r="N380" s="4">
        <f t="shared" si="210"/>
        <v>1.9650000000000007</v>
      </c>
      <c r="O380" s="2">
        <f t="shared" si="211"/>
        <v>5.5550000000000006</v>
      </c>
      <c r="P380" s="2">
        <f t="shared" si="212"/>
        <v>11.275</v>
      </c>
      <c r="Q380" s="5">
        <f t="shared" si="213"/>
        <v>15.030000000000005</v>
      </c>
      <c r="R380" s="4">
        <f t="shared" si="214"/>
        <v>0.60499999999999998</v>
      </c>
      <c r="S380" s="2">
        <f t="shared" si="215"/>
        <v>3.6300000000000008</v>
      </c>
      <c r="T380" s="2">
        <f t="shared" si="216"/>
        <v>8.25</v>
      </c>
      <c r="U380" s="5">
        <f t="shared" si="217"/>
        <v>12.9</v>
      </c>
      <c r="V380" s="4">
        <f t="shared" si="218"/>
        <v>1.0249999999999999</v>
      </c>
      <c r="W380" s="2">
        <f t="shared" si="219"/>
        <v>3.6300000000000008</v>
      </c>
      <c r="X380" s="2">
        <f t="shared" si="220"/>
        <v>8.25</v>
      </c>
      <c r="Y380" s="5">
        <f t="shared" si="221"/>
        <v>11.430000000000001</v>
      </c>
    </row>
    <row r="381" spans="1:25" x14ac:dyDescent="0.25">
      <c r="A381" s="98" t="s">
        <v>15</v>
      </c>
      <c r="B381" s="4">
        <f t="shared" si="198"/>
        <v>4.0150000000000006</v>
      </c>
      <c r="C381" s="2">
        <f t="shared" si="199"/>
        <v>7.4250000000000007</v>
      </c>
      <c r="D381" s="2">
        <f t="shared" si="200"/>
        <v>12.705000000000002</v>
      </c>
      <c r="E381" s="5">
        <f t="shared" si="201"/>
        <v>19.965</v>
      </c>
      <c r="F381" s="4">
        <f t="shared" si="202"/>
        <v>5.08</v>
      </c>
      <c r="G381" s="2">
        <f t="shared" si="203"/>
        <v>7.4250000000000007</v>
      </c>
      <c r="H381" s="2">
        <f t="shared" si="204"/>
        <v>12.705000000000002</v>
      </c>
      <c r="I381" s="94">
        <f t="shared" si="205"/>
        <v>17.489999999999998</v>
      </c>
      <c r="J381" s="4">
        <f t="shared" si="206"/>
        <v>7.3000000000000007</v>
      </c>
      <c r="K381" s="2">
        <f t="shared" si="207"/>
        <v>13.325000000000001</v>
      </c>
      <c r="L381" s="2">
        <f t="shared" si="208"/>
        <v>18.395</v>
      </c>
      <c r="M381" s="5">
        <f t="shared" si="209"/>
        <v>25.310000000000002</v>
      </c>
      <c r="N381" s="4">
        <f t="shared" si="210"/>
        <v>9.1149999999999984</v>
      </c>
      <c r="O381" s="2">
        <f t="shared" si="211"/>
        <v>13.325000000000001</v>
      </c>
      <c r="P381" s="2">
        <f t="shared" si="212"/>
        <v>18.395</v>
      </c>
      <c r="Q381" s="5">
        <f t="shared" si="213"/>
        <v>22.96</v>
      </c>
      <c r="R381" s="4">
        <f t="shared" si="214"/>
        <v>4.8249999999999993</v>
      </c>
      <c r="S381" s="2">
        <f t="shared" si="215"/>
        <v>9.4499999999999993</v>
      </c>
      <c r="T381" s="2">
        <f t="shared" si="216"/>
        <v>13.97</v>
      </c>
      <c r="U381" s="5">
        <f t="shared" si="217"/>
        <v>20.310000000000002</v>
      </c>
      <c r="V381" s="4">
        <f t="shared" si="218"/>
        <v>6.2499999999999982</v>
      </c>
      <c r="W381" s="2">
        <f t="shared" si="219"/>
        <v>9.4499999999999993</v>
      </c>
      <c r="X381" s="2">
        <f t="shared" si="220"/>
        <v>13.97</v>
      </c>
      <c r="Y381" s="5">
        <f t="shared" si="221"/>
        <v>18.159999999999997</v>
      </c>
    </row>
    <row r="382" spans="1:25" x14ac:dyDescent="0.25">
      <c r="A382" s="98" t="s">
        <v>16</v>
      </c>
      <c r="B382" s="4">
        <f t="shared" si="198"/>
        <v>5.6500000000000012</v>
      </c>
      <c r="C382" s="2">
        <f t="shared" si="199"/>
        <v>10.574999999999999</v>
      </c>
      <c r="D382" s="2">
        <f t="shared" si="200"/>
        <v>14.545000000000002</v>
      </c>
      <c r="E382" s="5">
        <f t="shared" si="201"/>
        <v>20.309999999999999</v>
      </c>
      <c r="F382" s="4">
        <f t="shared" si="202"/>
        <v>7.15</v>
      </c>
      <c r="G382" s="2">
        <f t="shared" si="203"/>
        <v>10.574999999999999</v>
      </c>
      <c r="H382" s="2">
        <f t="shared" si="204"/>
        <v>14.545000000000002</v>
      </c>
      <c r="I382" s="94">
        <f t="shared" si="205"/>
        <v>18.36</v>
      </c>
      <c r="J382" s="4">
        <f t="shared" si="206"/>
        <v>6.1450000000000005</v>
      </c>
      <c r="K382" s="2">
        <f t="shared" si="207"/>
        <v>11.840000000000002</v>
      </c>
      <c r="L382" s="2">
        <f t="shared" si="208"/>
        <v>16.579999999999998</v>
      </c>
      <c r="M382" s="5">
        <f t="shared" si="209"/>
        <v>22.340000000000003</v>
      </c>
      <c r="N382" s="4">
        <f t="shared" si="210"/>
        <v>7.5999999999999979</v>
      </c>
      <c r="O382" s="2">
        <f t="shared" si="211"/>
        <v>11.840000000000002</v>
      </c>
      <c r="P382" s="2">
        <f t="shared" si="212"/>
        <v>16.579999999999998</v>
      </c>
      <c r="Q382" s="5">
        <f t="shared" si="213"/>
        <v>20.43</v>
      </c>
      <c r="R382" s="4">
        <f t="shared" si="214"/>
        <v>2.1950000000000003</v>
      </c>
      <c r="S382" s="2">
        <f t="shared" si="215"/>
        <v>6.0149999999999997</v>
      </c>
      <c r="T382" s="2">
        <f t="shared" si="216"/>
        <v>10.755000000000001</v>
      </c>
      <c r="U382" s="5">
        <f t="shared" si="217"/>
        <v>16.215000000000003</v>
      </c>
      <c r="V382" s="4">
        <f t="shared" si="218"/>
        <v>3.1250000000000009</v>
      </c>
      <c r="W382" s="2">
        <f t="shared" si="219"/>
        <v>6.0149999999999997</v>
      </c>
      <c r="X382" s="2">
        <f t="shared" si="220"/>
        <v>10.755000000000001</v>
      </c>
      <c r="Y382" s="5">
        <f t="shared" si="221"/>
        <v>14.430000000000003</v>
      </c>
    </row>
    <row r="383" spans="1:25" x14ac:dyDescent="0.25">
      <c r="A383" s="98" t="s">
        <v>18</v>
      </c>
      <c r="B383" s="4">
        <f t="shared" si="198"/>
        <v>4.45</v>
      </c>
      <c r="C383" s="2">
        <f t="shared" si="199"/>
        <v>8.3250000000000011</v>
      </c>
      <c r="D383" s="2">
        <f t="shared" si="200"/>
        <v>13.395</v>
      </c>
      <c r="E383" s="5">
        <f t="shared" si="201"/>
        <v>20.310000000000002</v>
      </c>
      <c r="F383" s="4">
        <f t="shared" si="202"/>
        <v>5.6650000000000009</v>
      </c>
      <c r="G383" s="2">
        <f t="shared" si="203"/>
        <v>8.3250000000000011</v>
      </c>
      <c r="H383" s="2">
        <f t="shared" si="204"/>
        <v>13.395</v>
      </c>
      <c r="I383" s="94">
        <f t="shared" si="205"/>
        <v>17.96</v>
      </c>
      <c r="J383" s="4">
        <f t="shared" si="206"/>
        <v>7.3000000000000007</v>
      </c>
      <c r="K383" s="2">
        <f t="shared" si="207"/>
        <v>13.325000000000001</v>
      </c>
      <c r="L383" s="2">
        <f t="shared" si="208"/>
        <v>18.395</v>
      </c>
      <c r="M383" s="5">
        <f t="shared" si="209"/>
        <v>25.310000000000002</v>
      </c>
      <c r="N383" s="4">
        <f t="shared" si="210"/>
        <v>9.1149999999999984</v>
      </c>
      <c r="O383" s="2">
        <f t="shared" si="211"/>
        <v>13.325000000000001</v>
      </c>
      <c r="P383" s="2">
        <f t="shared" si="212"/>
        <v>18.395</v>
      </c>
      <c r="Q383" s="5">
        <f t="shared" si="213"/>
        <v>22.96</v>
      </c>
      <c r="R383" s="4">
        <f t="shared" si="214"/>
        <v>2.57</v>
      </c>
      <c r="S383" s="2">
        <f t="shared" si="215"/>
        <v>7.14</v>
      </c>
      <c r="T383" s="2">
        <f t="shared" si="216"/>
        <v>11.33</v>
      </c>
      <c r="U383" s="5">
        <f t="shared" si="217"/>
        <v>16.215</v>
      </c>
      <c r="V383" s="4">
        <f t="shared" si="218"/>
        <v>3.7099999999999991</v>
      </c>
      <c r="W383" s="2">
        <f t="shared" si="219"/>
        <v>7.14</v>
      </c>
      <c r="X383" s="2">
        <f t="shared" si="220"/>
        <v>11.33</v>
      </c>
      <c r="Y383" s="5">
        <f t="shared" si="221"/>
        <v>14.63</v>
      </c>
    </row>
    <row r="384" spans="1:25" x14ac:dyDescent="0.25">
      <c r="A384" s="98" t="s">
        <v>19</v>
      </c>
      <c r="B384" s="4">
        <f t="shared" si="198"/>
        <v>4.495000000000001</v>
      </c>
      <c r="C384" s="2">
        <f t="shared" si="199"/>
        <v>9.09</v>
      </c>
      <c r="D384" s="2">
        <f t="shared" si="200"/>
        <v>12.73</v>
      </c>
      <c r="E384" s="5">
        <f t="shared" si="201"/>
        <v>17.34</v>
      </c>
      <c r="F384" s="4">
        <f t="shared" si="202"/>
        <v>5.6349999999999989</v>
      </c>
      <c r="G384" s="2">
        <f t="shared" si="203"/>
        <v>9.09</v>
      </c>
      <c r="H384" s="2">
        <f t="shared" si="204"/>
        <v>12.73</v>
      </c>
      <c r="I384" s="94">
        <f t="shared" si="205"/>
        <v>15.83</v>
      </c>
      <c r="J384" s="4">
        <f t="shared" si="206"/>
        <v>6.1450000000000005</v>
      </c>
      <c r="K384" s="2">
        <f t="shared" si="207"/>
        <v>11.840000000000002</v>
      </c>
      <c r="L384" s="2">
        <f t="shared" si="208"/>
        <v>16.579999999999998</v>
      </c>
      <c r="M384" s="5">
        <f t="shared" si="209"/>
        <v>22.340000000000003</v>
      </c>
      <c r="N384" s="4">
        <f t="shared" si="210"/>
        <v>7.5999999999999979</v>
      </c>
      <c r="O384" s="2">
        <f t="shared" si="211"/>
        <v>11.840000000000002</v>
      </c>
      <c r="P384" s="2">
        <f t="shared" si="212"/>
        <v>16.579999999999998</v>
      </c>
      <c r="Q384" s="5">
        <f t="shared" si="213"/>
        <v>20.43</v>
      </c>
      <c r="R384" s="4">
        <f t="shared" si="214"/>
        <v>1.1550000000000002</v>
      </c>
      <c r="S384" s="2">
        <f t="shared" si="215"/>
        <v>4.4550000000000001</v>
      </c>
      <c r="T384" s="2">
        <f t="shared" si="216"/>
        <v>9.0750000000000011</v>
      </c>
      <c r="U384" s="5">
        <f t="shared" si="217"/>
        <v>14.025</v>
      </c>
      <c r="V384" s="4">
        <f t="shared" si="218"/>
        <v>1.8190000000000008</v>
      </c>
      <c r="W384" s="2">
        <f t="shared" si="219"/>
        <v>4.4550000000000001</v>
      </c>
      <c r="X384" s="2">
        <f t="shared" si="220"/>
        <v>9.0750000000000011</v>
      </c>
      <c r="Y384" s="5">
        <f t="shared" si="221"/>
        <v>12.430000000000003</v>
      </c>
    </row>
    <row r="385" spans="1:40" x14ac:dyDescent="0.25">
      <c r="A385" s="98" t="s">
        <v>20</v>
      </c>
      <c r="B385" s="4">
        <f t="shared" si="198"/>
        <v>4.495000000000001</v>
      </c>
      <c r="C385" s="2">
        <f t="shared" si="199"/>
        <v>9.09</v>
      </c>
      <c r="D385" s="2">
        <f t="shared" si="200"/>
        <v>12.73</v>
      </c>
      <c r="E385" s="5">
        <f t="shared" si="201"/>
        <v>17.34</v>
      </c>
      <c r="F385" s="4">
        <f t="shared" si="202"/>
        <v>5.6349999999999989</v>
      </c>
      <c r="G385" s="2">
        <f t="shared" si="203"/>
        <v>9.09</v>
      </c>
      <c r="H385" s="2">
        <f t="shared" si="204"/>
        <v>12.73</v>
      </c>
      <c r="I385" s="94">
        <f t="shared" si="205"/>
        <v>15.83</v>
      </c>
      <c r="J385" s="4">
        <f t="shared" si="206"/>
        <v>6.1450000000000005</v>
      </c>
      <c r="K385" s="2">
        <f t="shared" si="207"/>
        <v>11.840000000000002</v>
      </c>
      <c r="L385" s="2">
        <f t="shared" si="208"/>
        <v>16.579999999999998</v>
      </c>
      <c r="M385" s="5">
        <f t="shared" si="209"/>
        <v>22.340000000000003</v>
      </c>
      <c r="N385" s="4">
        <f t="shared" si="210"/>
        <v>7.5999999999999979</v>
      </c>
      <c r="O385" s="2">
        <f t="shared" si="211"/>
        <v>11.840000000000002</v>
      </c>
      <c r="P385" s="2">
        <f t="shared" si="212"/>
        <v>16.579999999999998</v>
      </c>
      <c r="Q385" s="5">
        <f t="shared" si="213"/>
        <v>20.43</v>
      </c>
      <c r="R385" s="4">
        <f t="shared" si="214"/>
        <v>2.1950000000000003</v>
      </c>
      <c r="S385" s="2">
        <f t="shared" si="215"/>
        <v>6.0149999999999997</v>
      </c>
      <c r="T385" s="2">
        <f t="shared" si="216"/>
        <v>10.755000000000001</v>
      </c>
      <c r="U385" s="5">
        <f t="shared" si="217"/>
        <v>16.215000000000003</v>
      </c>
      <c r="V385" s="4">
        <f t="shared" si="218"/>
        <v>3.1250000000000009</v>
      </c>
      <c r="W385" s="2">
        <f t="shared" si="219"/>
        <v>6.0149999999999997</v>
      </c>
      <c r="X385" s="2">
        <f t="shared" si="220"/>
        <v>10.755000000000001</v>
      </c>
      <c r="Y385" s="5">
        <f t="shared" si="221"/>
        <v>14.430000000000003</v>
      </c>
    </row>
    <row r="386" spans="1:40" x14ac:dyDescent="0.25">
      <c r="A386" s="98" t="s">
        <v>21</v>
      </c>
      <c r="B386" s="4">
        <f t="shared" si="198"/>
        <v>5.26</v>
      </c>
      <c r="C386" s="2">
        <f t="shared" si="199"/>
        <v>10.350000000000001</v>
      </c>
      <c r="D386" s="2">
        <f t="shared" si="200"/>
        <v>14.66</v>
      </c>
      <c r="E386" s="5">
        <f t="shared" si="201"/>
        <v>20.655000000000001</v>
      </c>
      <c r="F386" s="4">
        <f t="shared" si="202"/>
        <v>6.8349999999999991</v>
      </c>
      <c r="G386" s="2">
        <f t="shared" si="203"/>
        <v>10.350000000000001</v>
      </c>
      <c r="H386" s="2">
        <f t="shared" si="204"/>
        <v>14.66</v>
      </c>
      <c r="I386" s="94">
        <f t="shared" si="205"/>
        <v>18.63</v>
      </c>
      <c r="J386" s="4">
        <f t="shared" si="206"/>
        <v>4.22</v>
      </c>
      <c r="K386" s="2">
        <f t="shared" si="207"/>
        <v>9.89</v>
      </c>
      <c r="L386" s="2">
        <f t="shared" si="208"/>
        <v>15.18</v>
      </c>
      <c r="M386" s="5">
        <f t="shared" si="209"/>
        <v>21.215000000000003</v>
      </c>
      <c r="N386" s="4">
        <f t="shared" si="210"/>
        <v>5.6749999999999989</v>
      </c>
      <c r="O386" s="2">
        <f t="shared" si="211"/>
        <v>9.89</v>
      </c>
      <c r="P386" s="2">
        <f t="shared" si="212"/>
        <v>15.18</v>
      </c>
      <c r="Q386" s="5">
        <f t="shared" si="213"/>
        <v>19.23</v>
      </c>
      <c r="R386" s="4">
        <f t="shared" si="214"/>
        <v>4.495000000000001</v>
      </c>
      <c r="S386" s="2">
        <f t="shared" si="215"/>
        <v>9.09</v>
      </c>
      <c r="T386" s="2">
        <f t="shared" si="216"/>
        <v>12.73</v>
      </c>
      <c r="U386" s="5">
        <f t="shared" si="217"/>
        <v>17.34</v>
      </c>
      <c r="V386" s="4">
        <f t="shared" si="218"/>
        <v>5.6349999999999989</v>
      </c>
      <c r="W386" s="2">
        <f t="shared" si="219"/>
        <v>9.09</v>
      </c>
      <c r="X386" s="2">
        <f t="shared" si="220"/>
        <v>12.73</v>
      </c>
      <c r="Y386" s="5">
        <f t="shared" si="221"/>
        <v>15.83</v>
      </c>
    </row>
    <row r="387" spans="1:40" x14ac:dyDescent="0.25">
      <c r="A387" s="98" t="s">
        <v>23</v>
      </c>
      <c r="B387" s="4">
        <f t="shared" si="198"/>
        <v>4.45</v>
      </c>
      <c r="C387" s="2">
        <f t="shared" si="199"/>
        <v>8.3250000000000011</v>
      </c>
      <c r="D387" s="2">
        <f t="shared" si="200"/>
        <v>13.395</v>
      </c>
      <c r="E387" s="5">
        <f t="shared" si="201"/>
        <v>20.310000000000002</v>
      </c>
      <c r="F387" s="4">
        <f t="shared" si="202"/>
        <v>5.6650000000000009</v>
      </c>
      <c r="G387" s="2">
        <f t="shared" si="203"/>
        <v>8.3250000000000011</v>
      </c>
      <c r="H387" s="2">
        <f t="shared" si="204"/>
        <v>13.395</v>
      </c>
      <c r="I387" s="94">
        <f t="shared" si="205"/>
        <v>17.96</v>
      </c>
      <c r="J387" s="4">
        <f t="shared" si="206"/>
        <v>5.0450000000000008</v>
      </c>
      <c r="K387" s="2">
        <f t="shared" si="207"/>
        <v>11.015000000000001</v>
      </c>
      <c r="L387" s="2">
        <f t="shared" si="208"/>
        <v>15.754999999999999</v>
      </c>
      <c r="M387" s="5">
        <f t="shared" si="209"/>
        <v>21.215</v>
      </c>
      <c r="N387" s="4">
        <f t="shared" si="210"/>
        <v>6.5749999999999993</v>
      </c>
      <c r="O387" s="2">
        <f t="shared" si="211"/>
        <v>11.015000000000001</v>
      </c>
      <c r="P387" s="2">
        <f t="shared" si="212"/>
        <v>15.754999999999999</v>
      </c>
      <c r="Q387" s="5">
        <f t="shared" si="213"/>
        <v>19.430000000000003</v>
      </c>
      <c r="R387" s="4">
        <f t="shared" si="214"/>
        <v>2.57</v>
      </c>
      <c r="S387" s="2">
        <f t="shared" si="215"/>
        <v>7.14</v>
      </c>
      <c r="T387" s="2">
        <f t="shared" si="216"/>
        <v>11.33</v>
      </c>
      <c r="U387" s="5">
        <f t="shared" si="217"/>
        <v>16.215</v>
      </c>
      <c r="V387" s="4">
        <f t="shared" si="218"/>
        <v>3.7099999999999991</v>
      </c>
      <c r="W387" s="2">
        <f t="shared" si="219"/>
        <v>7.14</v>
      </c>
      <c r="X387" s="2">
        <f t="shared" si="220"/>
        <v>11.33</v>
      </c>
      <c r="Y387" s="5">
        <f t="shared" si="221"/>
        <v>14.63</v>
      </c>
    </row>
    <row r="388" spans="1:40" ht="15.75" thickBot="1" x14ac:dyDescent="0.3">
      <c r="A388" s="99" t="s">
        <v>24</v>
      </c>
      <c r="B388" s="95">
        <f t="shared" si="198"/>
        <v>2.1950000000000003</v>
      </c>
      <c r="C388" s="58">
        <f t="shared" si="199"/>
        <v>6.0150000000000006</v>
      </c>
      <c r="D388" s="58">
        <f t="shared" si="200"/>
        <v>10.754999999999999</v>
      </c>
      <c r="E388" s="62">
        <f t="shared" si="201"/>
        <v>16.215</v>
      </c>
      <c r="F388" s="95">
        <f t="shared" si="202"/>
        <v>3.1250000000000009</v>
      </c>
      <c r="G388" s="58">
        <f t="shared" si="203"/>
        <v>6.0150000000000006</v>
      </c>
      <c r="H388" s="58">
        <f t="shared" si="204"/>
        <v>10.754999999999999</v>
      </c>
      <c r="I388" s="101">
        <f t="shared" si="205"/>
        <v>14.430000000000003</v>
      </c>
      <c r="J388" s="95">
        <f t="shared" si="206"/>
        <v>5.0450000000000008</v>
      </c>
      <c r="K388" s="58">
        <f t="shared" si="207"/>
        <v>11.015000000000001</v>
      </c>
      <c r="L388" s="58">
        <f t="shared" si="208"/>
        <v>15.754999999999999</v>
      </c>
      <c r="M388" s="62">
        <f t="shared" si="209"/>
        <v>21.215</v>
      </c>
      <c r="N388" s="95">
        <f t="shared" si="210"/>
        <v>6.5749999999999993</v>
      </c>
      <c r="O388" s="58">
        <f t="shared" si="211"/>
        <v>11.015000000000001</v>
      </c>
      <c r="P388" s="58">
        <f t="shared" si="212"/>
        <v>15.754999999999999</v>
      </c>
      <c r="Q388" s="62">
        <f t="shared" si="213"/>
        <v>19.430000000000003</v>
      </c>
      <c r="R388" s="95">
        <f t="shared" si="214"/>
        <v>4.22</v>
      </c>
      <c r="S388" s="58">
        <f t="shared" si="215"/>
        <v>8.7900000000000009</v>
      </c>
      <c r="T388" s="58">
        <f t="shared" si="216"/>
        <v>12.98</v>
      </c>
      <c r="U388" s="62">
        <f t="shared" si="217"/>
        <v>18.465</v>
      </c>
      <c r="V388" s="95">
        <f t="shared" si="218"/>
        <v>5.5289999999999981</v>
      </c>
      <c r="W388" s="58">
        <f t="shared" si="219"/>
        <v>8.7900000000000009</v>
      </c>
      <c r="X388" s="58">
        <f t="shared" si="220"/>
        <v>12.98</v>
      </c>
      <c r="Y388" s="62">
        <f t="shared" si="221"/>
        <v>16.63</v>
      </c>
    </row>
    <row r="390" spans="1:40" ht="15.75" thickBot="1" x14ac:dyDescent="0.3">
      <c r="A390" s="1" t="s">
        <v>144</v>
      </c>
      <c r="AH390">
        <v>0.8</v>
      </c>
    </row>
    <row r="391" spans="1:40" ht="15.75" thickBot="1" x14ac:dyDescent="0.3">
      <c r="A391" s="233" t="s">
        <v>27</v>
      </c>
      <c r="B391" s="229" t="s">
        <v>141</v>
      </c>
      <c r="C391" s="235"/>
      <c r="D391" s="235"/>
      <c r="E391" s="235"/>
      <c r="F391" s="235"/>
      <c r="G391" s="235"/>
      <c r="H391" s="235"/>
      <c r="I391" s="236"/>
      <c r="J391" s="229" t="s">
        <v>142</v>
      </c>
      <c r="K391" s="235"/>
      <c r="L391" s="235"/>
      <c r="M391" s="235"/>
      <c r="N391" s="235"/>
      <c r="O391" s="235"/>
      <c r="P391" s="235"/>
      <c r="Q391" s="236"/>
      <c r="R391" s="229" t="s">
        <v>145</v>
      </c>
      <c r="S391" s="235"/>
      <c r="T391" s="235"/>
      <c r="U391" s="235"/>
      <c r="V391" s="235"/>
      <c r="W391" s="235"/>
      <c r="X391" s="235"/>
      <c r="Y391" s="236"/>
      <c r="Z391" s="230" t="s">
        <v>143</v>
      </c>
      <c r="AA391" s="231"/>
      <c r="AB391" s="231"/>
      <c r="AC391" s="231"/>
      <c r="AD391" s="231"/>
      <c r="AE391" s="231"/>
      <c r="AF391" s="231"/>
      <c r="AG391" s="232"/>
      <c r="AH391" s="219" t="s">
        <v>82</v>
      </c>
      <c r="AI391" s="220"/>
      <c r="AJ391" s="220"/>
      <c r="AK391" s="221"/>
      <c r="AL391" s="222" t="s">
        <v>84</v>
      </c>
      <c r="AM391" s="223"/>
      <c r="AN391" s="224" t="s">
        <v>87</v>
      </c>
    </row>
    <row r="392" spans="1:40" ht="31.5" customHeight="1" thickBot="1" x14ac:dyDescent="0.3">
      <c r="A392" s="234"/>
      <c r="B392" s="256" t="s">
        <v>3</v>
      </c>
      <c r="C392" s="220"/>
      <c r="D392" s="220"/>
      <c r="E392" s="221"/>
      <c r="F392" s="229" t="s">
        <v>4</v>
      </c>
      <c r="G392" s="227"/>
      <c r="H392" s="227"/>
      <c r="I392" s="228"/>
      <c r="J392" s="226" t="s">
        <v>3</v>
      </c>
      <c r="K392" s="227"/>
      <c r="L392" s="227"/>
      <c r="M392" s="228"/>
      <c r="N392" s="229" t="s">
        <v>4</v>
      </c>
      <c r="O392" s="227"/>
      <c r="P392" s="227"/>
      <c r="Q392" s="228"/>
      <c r="R392" s="226" t="s">
        <v>3</v>
      </c>
      <c r="S392" s="227"/>
      <c r="T392" s="227"/>
      <c r="U392" s="228"/>
      <c r="V392" s="229" t="s">
        <v>4</v>
      </c>
      <c r="W392" s="227"/>
      <c r="X392" s="227"/>
      <c r="Y392" s="228"/>
      <c r="Z392" s="230" t="s">
        <v>3</v>
      </c>
      <c r="AA392" s="231"/>
      <c r="AB392" s="231"/>
      <c r="AC392" s="232"/>
      <c r="AD392" s="230" t="s">
        <v>4</v>
      </c>
      <c r="AE392" s="231"/>
      <c r="AF392" s="231"/>
      <c r="AG392" s="232"/>
      <c r="AH392" s="216" t="s">
        <v>83</v>
      </c>
      <c r="AI392" s="217"/>
      <c r="AJ392" s="216" t="s">
        <v>5</v>
      </c>
      <c r="AK392" s="218"/>
      <c r="AL392" s="80" t="s">
        <v>85</v>
      </c>
      <c r="AM392" s="80" t="s">
        <v>86</v>
      </c>
      <c r="AN392" s="225"/>
    </row>
    <row r="393" spans="1:40" x14ac:dyDescent="0.25">
      <c r="A393" s="167" t="s">
        <v>25</v>
      </c>
      <c r="B393" s="171">
        <f>B379*$B364</f>
        <v>1.8548089912523533</v>
      </c>
      <c r="C393" s="172">
        <f t="shared" ref="C393:E393" si="222">C379*$B364</f>
        <v>3.6177388993466946</v>
      </c>
      <c r="D393" s="172">
        <f t="shared" si="222"/>
        <v>4.5394009522754954</v>
      </c>
      <c r="E393" s="173">
        <f t="shared" si="222"/>
        <v>5.9305076957147609</v>
      </c>
      <c r="F393" s="171">
        <f>F379*$B364</f>
        <v>2.3888561621082931</v>
      </c>
      <c r="G393" s="172">
        <f t="shared" ref="G393:I393" si="223">G379*$B364</f>
        <v>3.6177388993466946</v>
      </c>
      <c r="H393" s="172">
        <f t="shared" si="223"/>
        <v>4.5394009522754954</v>
      </c>
      <c r="I393" s="173">
        <f t="shared" si="223"/>
        <v>5.4639342265529844</v>
      </c>
      <c r="J393" s="171">
        <f>J379*$C364</f>
        <v>1.5537039087587197</v>
      </c>
      <c r="K393" s="174">
        <f t="shared" ref="K393:M393" si="224">K379*$C364</f>
        <v>3.6412634259771894</v>
      </c>
      <c r="L393" s="174">
        <f t="shared" si="224"/>
        <v>5.5889159561510349</v>
      </c>
      <c r="M393" s="175">
        <f t="shared" si="224"/>
        <v>7.8108598161886844</v>
      </c>
      <c r="N393" s="171">
        <f>N379*$C364</f>
        <v>2.0894003986269509</v>
      </c>
      <c r="O393" s="174">
        <f t="shared" ref="O393:Q393" si="225">O379*$C364</f>
        <v>3.6412634259771894</v>
      </c>
      <c r="P393" s="174">
        <f t="shared" si="225"/>
        <v>5.5889159561510349</v>
      </c>
      <c r="Q393" s="175">
        <f t="shared" si="225"/>
        <v>7.0800298970213706</v>
      </c>
      <c r="R393" s="171">
        <f>R379*$D364</f>
        <v>1.7390194884287455</v>
      </c>
      <c r="S393" s="174">
        <f t="shared" ref="S393:U393" si="226">S379*$D364</f>
        <v>3.4177161997563941</v>
      </c>
      <c r="T393" s="174">
        <f t="shared" si="226"/>
        <v>4.6724299634591953</v>
      </c>
      <c r="U393" s="175">
        <f t="shared" si="226"/>
        <v>6.3649147381242379</v>
      </c>
      <c r="V393" s="171">
        <f>V379*$D364</f>
        <v>2.2160864799025575</v>
      </c>
      <c r="W393" s="174">
        <f t="shared" ref="W393:Y393" si="227">W379*$D364</f>
        <v>3.4177161997563941</v>
      </c>
      <c r="X393" s="174">
        <f t="shared" si="227"/>
        <v>4.6724299634591953</v>
      </c>
      <c r="Y393" s="175">
        <f t="shared" si="227"/>
        <v>5.8013276492082824</v>
      </c>
      <c r="Z393" s="15">
        <f>B393+J393+R393</f>
        <v>5.1475323884398181</v>
      </c>
      <c r="AA393" s="16">
        <f t="shared" ref="AA393:AG402" si="228">C393+K393+S393</f>
        <v>10.676718525080279</v>
      </c>
      <c r="AB393" s="16">
        <f t="shared" si="228"/>
        <v>14.800746871885725</v>
      </c>
      <c r="AC393" s="17">
        <f t="shared" si="228"/>
        <v>20.106282250027682</v>
      </c>
      <c r="AD393" s="15">
        <f t="shared" si="228"/>
        <v>6.6943430406378015</v>
      </c>
      <c r="AE393" s="16">
        <f t="shared" si="228"/>
        <v>10.676718525080279</v>
      </c>
      <c r="AF393" s="16">
        <f t="shared" si="228"/>
        <v>14.800746871885725</v>
      </c>
      <c r="AG393" s="134">
        <f t="shared" si="228"/>
        <v>18.345291772782637</v>
      </c>
      <c r="AH393" s="142">
        <f>AH$390*AA393+(1-AH$390)*Z393</f>
        <v>9.5708812977521873</v>
      </c>
      <c r="AI393" s="194">
        <f>AH$390*AB393+(1-AH$390)*AC393</f>
        <v>15.861853947514117</v>
      </c>
      <c r="AJ393" s="142">
        <f>AH$390*AE393+(1-AH$390)*AD393</f>
        <v>9.8802434281917844</v>
      </c>
      <c r="AK393" s="194">
        <f>AH$390*AF393+(1-AH$390)*AG393</f>
        <v>15.509655852065107</v>
      </c>
      <c r="AL393" s="142">
        <f>(AH393+AI393)/2</f>
        <v>12.716367622633152</v>
      </c>
      <c r="AM393" s="194">
        <f>(AJ393+AK393)/2</f>
        <v>12.694949640128446</v>
      </c>
      <c r="AN393" s="195">
        <f>(AL393+AM393)/2</f>
        <v>12.7056586313808</v>
      </c>
    </row>
    <row r="394" spans="1:40" x14ac:dyDescent="0.25">
      <c r="A394" s="168" t="s">
        <v>14</v>
      </c>
      <c r="B394" s="135">
        <f t="shared" ref="B394:F402" si="229">B380*$B365</f>
        <v>0.43443743182172362</v>
      </c>
      <c r="C394" s="129">
        <f t="shared" si="229"/>
        <v>1.6756872370266478</v>
      </c>
      <c r="D394" s="129">
        <f t="shared" si="229"/>
        <v>3.4134369643135414</v>
      </c>
      <c r="E394" s="136">
        <f t="shared" si="229"/>
        <v>5.2753116721209281</v>
      </c>
      <c r="F394" s="135">
        <f t="shared" si="229"/>
        <v>0.68419193808113887</v>
      </c>
      <c r="G394" s="129">
        <f t="shared" ref="G394:I394" si="230">G380*$B365</f>
        <v>1.6756872370266478</v>
      </c>
      <c r="H394" s="129">
        <f t="shared" si="230"/>
        <v>3.4134369643135414</v>
      </c>
      <c r="I394" s="136">
        <f t="shared" si="230"/>
        <v>4.6753742662718825</v>
      </c>
      <c r="J394" s="15">
        <f t="shared" ref="J394:N402" si="231">J380*$C365</f>
        <v>0.31660355306217869</v>
      </c>
      <c r="K394" s="170">
        <f t="shared" si="231"/>
        <v>1.522712326632383</v>
      </c>
      <c r="L394" s="170">
        <f t="shared" si="231"/>
        <v>3.0906537322736485</v>
      </c>
      <c r="M394" s="176">
        <f t="shared" si="231"/>
        <v>4.5982896992364042</v>
      </c>
      <c r="N394" s="15">
        <f t="shared" si="231"/>
        <v>0.53863721365123918</v>
      </c>
      <c r="O394" s="170">
        <f t="shared" ref="O394:Q394" si="232">O380*$C365</f>
        <v>1.522712326632383</v>
      </c>
      <c r="P394" s="170">
        <f t="shared" si="232"/>
        <v>3.0906537322736485</v>
      </c>
      <c r="Q394" s="176">
        <f t="shared" si="232"/>
        <v>4.1199579242636757</v>
      </c>
      <c r="R394" s="15">
        <f t="shared" ref="R394:V402" si="233">R380*$D365</f>
        <v>0.21159757934652745</v>
      </c>
      <c r="S394" s="170">
        <f t="shared" si="233"/>
        <v>1.2695854760791652</v>
      </c>
      <c r="T394" s="170">
        <f t="shared" si="233"/>
        <v>2.8854215365435563</v>
      </c>
      <c r="U394" s="176">
        <f t="shared" si="233"/>
        <v>4.5117500389590157</v>
      </c>
      <c r="V394" s="15">
        <f t="shared" si="233"/>
        <v>0.35849176666147214</v>
      </c>
      <c r="W394" s="170">
        <f t="shared" ref="W394:Y394" si="234">W380*$D365</f>
        <v>1.2695854760791652</v>
      </c>
      <c r="X394" s="170">
        <f t="shared" si="234"/>
        <v>2.8854215365435563</v>
      </c>
      <c r="Y394" s="176">
        <f t="shared" si="234"/>
        <v>3.9976203833567094</v>
      </c>
      <c r="Z394" s="135">
        <f t="shared" ref="Z394:Z402" si="235">B394+J394+R394</f>
        <v>0.96263856423042982</v>
      </c>
      <c r="AA394" s="129">
        <f t="shared" si="228"/>
        <v>4.4679850397381955</v>
      </c>
      <c r="AB394" s="129">
        <f t="shared" si="228"/>
        <v>9.3895122331307448</v>
      </c>
      <c r="AC394" s="136">
        <f t="shared" si="228"/>
        <v>14.385351410316346</v>
      </c>
      <c r="AD394" s="135">
        <f t="shared" si="228"/>
        <v>1.5813209183938504</v>
      </c>
      <c r="AE394" s="129">
        <f t="shared" si="228"/>
        <v>4.4679850397381955</v>
      </c>
      <c r="AF394" s="129">
        <f t="shared" si="228"/>
        <v>9.3895122331307448</v>
      </c>
      <c r="AG394" s="137">
        <f t="shared" si="228"/>
        <v>12.792952573892267</v>
      </c>
      <c r="AH394" s="143">
        <f t="shared" ref="AH394:AH402" si="236">AH$390*AA394+(1-AH$390)*Z394</f>
        <v>3.7669157446366426</v>
      </c>
      <c r="AI394" s="196">
        <f t="shared" ref="AI394:AI402" si="237">AH$390*AB394+(1-AH$390)*AC394</f>
        <v>10.388680068567865</v>
      </c>
      <c r="AJ394" s="143">
        <f t="shared" ref="AJ394:AJ402" si="238">AH$390*AE394+(1-AH$390)*AD394</f>
        <v>3.8906522154693266</v>
      </c>
      <c r="AK394" s="196">
        <f t="shared" ref="AK394:AK402" si="239">AH$390*AF394+(1-AH$390)*AG394</f>
        <v>10.07020030128305</v>
      </c>
      <c r="AL394" s="143">
        <f t="shared" ref="AL394:AL402" si="240">(AH394+AI394)/2</f>
        <v>7.0777979066022541</v>
      </c>
      <c r="AM394" s="196">
        <f t="shared" ref="AM394:AM402" si="241">(AJ394+AK394)/2</f>
        <v>6.9804262583761885</v>
      </c>
      <c r="AN394" s="197">
        <f t="shared" ref="AN394:AN402" si="242">(AL394+AM394)/2</f>
        <v>7.0291120824892213</v>
      </c>
    </row>
    <row r="395" spans="1:40" x14ac:dyDescent="0.25">
      <c r="A395" s="168" t="s">
        <v>15</v>
      </c>
      <c r="B395" s="135">
        <f t="shared" si="229"/>
        <v>1.4213636363636364</v>
      </c>
      <c r="C395" s="129">
        <f t="shared" si="229"/>
        <v>2.6285491905354919</v>
      </c>
      <c r="D395" s="129">
        <f t="shared" si="229"/>
        <v>4.4977397260273975</v>
      </c>
      <c r="E395" s="136">
        <f t="shared" si="229"/>
        <v>7.0678767123287667</v>
      </c>
      <c r="F395" s="135">
        <f t="shared" si="229"/>
        <v>1.7983878636929693</v>
      </c>
      <c r="G395" s="129">
        <f t="shared" ref="G395:I395" si="243">G381*$B366</f>
        <v>2.6285491905354919</v>
      </c>
      <c r="H395" s="129">
        <f t="shared" si="243"/>
        <v>4.4977397260273975</v>
      </c>
      <c r="I395" s="136">
        <f t="shared" si="243"/>
        <v>6.1916936488169352</v>
      </c>
      <c r="J395" s="15">
        <f t="shared" si="231"/>
        <v>1.8008264462809922</v>
      </c>
      <c r="K395" s="170">
        <f t="shared" si="231"/>
        <v>3.2871249858485232</v>
      </c>
      <c r="L395" s="170">
        <f t="shared" si="231"/>
        <v>4.5378359560738142</v>
      </c>
      <c r="M395" s="176">
        <f t="shared" si="231"/>
        <v>6.2436873089550566</v>
      </c>
      <c r="N395" s="15">
        <f t="shared" si="231"/>
        <v>2.2485661723083887</v>
      </c>
      <c r="O395" s="170">
        <f t="shared" ref="O395:Q395" si="244">O381*$C366</f>
        <v>3.2871249858485232</v>
      </c>
      <c r="P395" s="170">
        <f t="shared" si="244"/>
        <v>4.5378359560738142</v>
      </c>
      <c r="Q395" s="176">
        <f t="shared" si="244"/>
        <v>5.6639692063851479</v>
      </c>
      <c r="R395" s="15">
        <f t="shared" si="233"/>
        <v>1.9266132684252235</v>
      </c>
      <c r="S395" s="170">
        <f t="shared" si="233"/>
        <v>3.7733669195063966</v>
      </c>
      <c r="T395" s="170">
        <f t="shared" si="233"/>
        <v>5.5781942714819435</v>
      </c>
      <c r="U395" s="176">
        <f t="shared" si="233"/>
        <v>8.1097441412883526</v>
      </c>
      <c r="V395" s="15">
        <f t="shared" si="233"/>
        <v>2.4956130420015845</v>
      </c>
      <c r="W395" s="170">
        <f t="shared" ref="W395:Y395" si="245">W381*$D366</f>
        <v>3.7733669195063966</v>
      </c>
      <c r="X395" s="170">
        <f t="shared" si="245"/>
        <v>5.5781942714819435</v>
      </c>
      <c r="Y395" s="176">
        <f t="shared" si="245"/>
        <v>7.2512532548398045</v>
      </c>
      <c r="Z395" s="135">
        <f t="shared" si="235"/>
        <v>5.1488033510698514</v>
      </c>
      <c r="AA395" s="129">
        <f t="shared" si="228"/>
        <v>9.6890410958904116</v>
      </c>
      <c r="AB395" s="129">
        <f t="shared" si="228"/>
        <v>14.613769953583155</v>
      </c>
      <c r="AC395" s="136">
        <f t="shared" si="228"/>
        <v>21.421308162572174</v>
      </c>
      <c r="AD395" s="135">
        <f t="shared" si="228"/>
        <v>6.5425670780029428</v>
      </c>
      <c r="AE395" s="129">
        <f t="shared" si="228"/>
        <v>9.6890410958904116</v>
      </c>
      <c r="AF395" s="129">
        <f t="shared" si="228"/>
        <v>14.613769953583155</v>
      </c>
      <c r="AG395" s="137">
        <f t="shared" si="228"/>
        <v>19.106916110041887</v>
      </c>
      <c r="AH395" s="143">
        <f t="shared" si="236"/>
        <v>8.7809935469263003</v>
      </c>
      <c r="AI395" s="196">
        <f t="shared" si="237"/>
        <v>15.975277595380959</v>
      </c>
      <c r="AJ395" s="143">
        <f t="shared" si="238"/>
        <v>9.0597462923129175</v>
      </c>
      <c r="AK395" s="196">
        <f t="shared" si="239"/>
        <v>15.512399184874901</v>
      </c>
      <c r="AL395" s="143">
        <f t="shared" si="240"/>
        <v>12.37813557115363</v>
      </c>
      <c r="AM395" s="196">
        <f t="shared" si="241"/>
        <v>12.286072738593909</v>
      </c>
      <c r="AN395" s="197">
        <f t="shared" si="242"/>
        <v>12.332104154873768</v>
      </c>
    </row>
    <row r="396" spans="1:40" x14ac:dyDescent="0.25">
      <c r="A396" s="168" t="s">
        <v>16</v>
      </c>
      <c r="B396" s="135">
        <f t="shared" si="229"/>
        <v>2.1067332727823196</v>
      </c>
      <c r="C396" s="129">
        <f t="shared" si="229"/>
        <v>3.9431335149863753</v>
      </c>
      <c r="D396" s="129">
        <f t="shared" si="229"/>
        <v>5.4234399031183775</v>
      </c>
      <c r="E396" s="136">
        <f t="shared" si="229"/>
        <v>7.5730535876475917</v>
      </c>
      <c r="F396" s="135">
        <f t="shared" si="229"/>
        <v>2.6660429912201029</v>
      </c>
      <c r="G396" s="129">
        <f t="shared" ref="G396:I396" si="246">G382*$B367</f>
        <v>3.9431335149863753</v>
      </c>
      <c r="H396" s="129">
        <f t="shared" si="246"/>
        <v>5.4234399031183775</v>
      </c>
      <c r="I396" s="136">
        <f t="shared" si="246"/>
        <v>6.8459509536784733</v>
      </c>
      <c r="J396" s="15">
        <f t="shared" si="231"/>
        <v>1.9981017257039055</v>
      </c>
      <c r="K396" s="170">
        <f t="shared" si="231"/>
        <v>3.8498819255222525</v>
      </c>
      <c r="L396" s="170">
        <f t="shared" si="231"/>
        <v>5.3911353315168018</v>
      </c>
      <c r="M396" s="176">
        <f t="shared" si="231"/>
        <v>7.2640508628519536</v>
      </c>
      <c r="N396" s="15">
        <f t="shared" si="231"/>
        <v>2.4712079927338775</v>
      </c>
      <c r="O396" s="170">
        <f t="shared" ref="O396:Q396" si="247">O382*$C367</f>
        <v>3.8498819255222525</v>
      </c>
      <c r="P396" s="170">
        <f t="shared" si="247"/>
        <v>5.3911353315168018</v>
      </c>
      <c r="Q396" s="176">
        <f t="shared" si="247"/>
        <v>6.6429972752043591</v>
      </c>
      <c r="R396" s="15">
        <f t="shared" si="233"/>
        <v>0.66281955797759617</v>
      </c>
      <c r="S396" s="170">
        <f t="shared" si="233"/>
        <v>1.8163369663941871</v>
      </c>
      <c r="T396" s="170">
        <f t="shared" si="233"/>
        <v>3.24766485013624</v>
      </c>
      <c r="U396" s="176">
        <f t="shared" si="233"/>
        <v>4.8964096276112636</v>
      </c>
      <c r="V396" s="15">
        <f t="shared" si="233"/>
        <v>0.94364971238268269</v>
      </c>
      <c r="W396" s="170">
        <f t="shared" ref="W396:Y396" si="248">W382*$D367</f>
        <v>1.8163369663941871</v>
      </c>
      <c r="X396" s="170">
        <f t="shared" si="248"/>
        <v>3.24766485013624</v>
      </c>
      <c r="Y396" s="176">
        <f t="shared" si="248"/>
        <v>4.3573969118982756</v>
      </c>
      <c r="Z396" s="135">
        <f t="shared" si="235"/>
        <v>4.767654556463822</v>
      </c>
      <c r="AA396" s="129">
        <f t="shared" si="228"/>
        <v>9.6093524069028149</v>
      </c>
      <c r="AB396" s="129">
        <f t="shared" si="228"/>
        <v>14.062240084771418</v>
      </c>
      <c r="AC396" s="136">
        <f t="shared" si="228"/>
        <v>19.733514078110808</v>
      </c>
      <c r="AD396" s="135">
        <f t="shared" si="228"/>
        <v>6.0809006963366627</v>
      </c>
      <c r="AE396" s="129">
        <f t="shared" si="228"/>
        <v>9.6093524069028149</v>
      </c>
      <c r="AF396" s="129">
        <f t="shared" si="228"/>
        <v>14.062240084771418</v>
      </c>
      <c r="AG396" s="137">
        <f t="shared" si="228"/>
        <v>17.846345140781111</v>
      </c>
      <c r="AH396" s="143">
        <f t="shared" si="236"/>
        <v>8.6410128368150172</v>
      </c>
      <c r="AI396" s="196">
        <f t="shared" si="237"/>
        <v>15.196494883439295</v>
      </c>
      <c r="AJ396" s="143">
        <f t="shared" si="238"/>
        <v>8.9036620647895859</v>
      </c>
      <c r="AK396" s="196">
        <f t="shared" si="239"/>
        <v>14.819061095973355</v>
      </c>
      <c r="AL396" s="143">
        <f t="shared" si="240"/>
        <v>11.918753860127156</v>
      </c>
      <c r="AM396" s="196">
        <f t="shared" si="241"/>
        <v>11.86136158038147</v>
      </c>
      <c r="AN396" s="197">
        <f t="shared" si="242"/>
        <v>11.890057720254312</v>
      </c>
    </row>
    <row r="397" spans="1:40" x14ac:dyDescent="0.25">
      <c r="A397" s="168" t="s">
        <v>18</v>
      </c>
      <c r="B397" s="135">
        <f t="shared" si="229"/>
        <v>1.7302245618305745</v>
      </c>
      <c r="C397" s="129">
        <f t="shared" si="229"/>
        <v>3.2368807814021423</v>
      </c>
      <c r="D397" s="129">
        <f t="shared" si="229"/>
        <v>5.2081703383641669</v>
      </c>
      <c r="E397" s="136">
        <f t="shared" si="229"/>
        <v>7.8968226630963976</v>
      </c>
      <c r="F397" s="135">
        <f t="shared" si="229"/>
        <v>2.2026341893865631</v>
      </c>
      <c r="G397" s="129">
        <f t="shared" ref="G397:I397" si="249">G383*$B368</f>
        <v>3.2368807814021423</v>
      </c>
      <c r="H397" s="129">
        <f t="shared" si="249"/>
        <v>5.2081703383641669</v>
      </c>
      <c r="I397" s="136">
        <f t="shared" si="249"/>
        <v>6.9831085686465437</v>
      </c>
      <c r="J397" s="15">
        <f t="shared" si="231"/>
        <v>1.7970119279454722</v>
      </c>
      <c r="K397" s="170">
        <f t="shared" si="231"/>
        <v>3.2801621835443036</v>
      </c>
      <c r="L397" s="170">
        <f t="shared" si="231"/>
        <v>4.5282238924050624</v>
      </c>
      <c r="M397" s="176">
        <f t="shared" si="231"/>
        <v>6.230461903602726</v>
      </c>
      <c r="N397" s="15">
        <f t="shared" si="231"/>
        <v>2.2438032497565716</v>
      </c>
      <c r="O397" s="170">
        <f t="shared" ref="O397:Q397" si="250">O383*$C368</f>
        <v>3.2801621835443036</v>
      </c>
      <c r="P397" s="170">
        <f t="shared" si="250"/>
        <v>4.5282238924050624</v>
      </c>
      <c r="Q397" s="176">
        <f t="shared" si="250"/>
        <v>5.6519717624147994</v>
      </c>
      <c r="R397" s="15">
        <f t="shared" si="233"/>
        <v>0.93810004868549157</v>
      </c>
      <c r="S397" s="170">
        <f t="shared" si="233"/>
        <v>2.6062390457643616</v>
      </c>
      <c r="T397" s="170">
        <f t="shared" si="233"/>
        <v>4.1356706426484902</v>
      </c>
      <c r="U397" s="176">
        <f t="shared" si="233"/>
        <v>5.9187907740993175</v>
      </c>
      <c r="V397" s="15">
        <f t="shared" si="233"/>
        <v>1.3542222492697171</v>
      </c>
      <c r="W397" s="170">
        <f t="shared" ref="W397:Y397" si="251">W383*$D368</f>
        <v>2.6062390457643616</v>
      </c>
      <c r="X397" s="170">
        <f t="shared" si="251"/>
        <v>4.1356706426484902</v>
      </c>
      <c r="Y397" s="176">
        <f t="shared" si="251"/>
        <v>5.3402349074975657</v>
      </c>
      <c r="Z397" s="135">
        <f t="shared" si="235"/>
        <v>4.4653365384615382</v>
      </c>
      <c r="AA397" s="129">
        <f t="shared" si="228"/>
        <v>9.1232820107108079</v>
      </c>
      <c r="AB397" s="129">
        <f t="shared" si="228"/>
        <v>13.872064873417719</v>
      </c>
      <c r="AC397" s="136">
        <f t="shared" si="228"/>
        <v>20.046075340798442</v>
      </c>
      <c r="AD397" s="135">
        <f t="shared" si="228"/>
        <v>5.8006596884128516</v>
      </c>
      <c r="AE397" s="129">
        <f t="shared" si="228"/>
        <v>9.1232820107108079</v>
      </c>
      <c r="AF397" s="129">
        <f t="shared" si="228"/>
        <v>13.872064873417719</v>
      </c>
      <c r="AG397" s="137">
        <f t="shared" si="228"/>
        <v>17.975315238558906</v>
      </c>
      <c r="AH397" s="143">
        <f t="shared" si="236"/>
        <v>8.1916929162609549</v>
      </c>
      <c r="AI397" s="196">
        <f t="shared" si="237"/>
        <v>15.106866966893865</v>
      </c>
      <c r="AJ397" s="143">
        <f t="shared" si="238"/>
        <v>8.458757546251217</v>
      </c>
      <c r="AK397" s="196">
        <f t="shared" si="239"/>
        <v>14.692714946445957</v>
      </c>
      <c r="AL397" s="143">
        <f t="shared" si="240"/>
        <v>11.64927994157741</v>
      </c>
      <c r="AM397" s="196">
        <f t="shared" si="241"/>
        <v>11.575736246348587</v>
      </c>
      <c r="AN397" s="197">
        <f t="shared" si="242"/>
        <v>11.612508093962997</v>
      </c>
    </row>
    <row r="398" spans="1:40" x14ac:dyDescent="0.25">
      <c r="A398" s="168" t="s">
        <v>19</v>
      </c>
      <c r="B398" s="135">
        <f t="shared" si="229"/>
        <v>1.6869354107281684</v>
      </c>
      <c r="C398" s="129">
        <f t="shared" si="229"/>
        <v>3.4113999740865513</v>
      </c>
      <c r="D398" s="129">
        <f t="shared" si="229"/>
        <v>4.7774611298263805</v>
      </c>
      <c r="E398" s="136">
        <f t="shared" si="229"/>
        <v>6.5075550660792958</v>
      </c>
      <c r="F398" s="135">
        <f t="shared" si="229"/>
        <v>2.1147677507126197</v>
      </c>
      <c r="G398" s="129">
        <f t="shared" ref="G398:I398" si="252">G384*$B369</f>
        <v>3.4113999740865513</v>
      </c>
      <c r="H398" s="129">
        <f t="shared" si="252"/>
        <v>4.7774611298263805</v>
      </c>
      <c r="I398" s="136">
        <f t="shared" si="252"/>
        <v>5.9408648613630479</v>
      </c>
      <c r="J398" s="15">
        <f t="shared" si="231"/>
        <v>1.7806805519564657</v>
      </c>
      <c r="K398" s="170">
        <f t="shared" si="231"/>
        <v>3.4309613889608714</v>
      </c>
      <c r="L398" s="170">
        <f t="shared" si="231"/>
        <v>4.804505053122571</v>
      </c>
      <c r="M398" s="176">
        <f t="shared" si="231"/>
        <v>6.4736214045089415</v>
      </c>
      <c r="N398" s="15">
        <f t="shared" si="231"/>
        <v>2.2023062969681262</v>
      </c>
      <c r="O398" s="170">
        <f t="shared" ref="O398:Q398" si="253">O384*$C369</f>
        <v>3.4309613889608714</v>
      </c>
      <c r="P398" s="170">
        <f t="shared" si="253"/>
        <v>4.804505053122571</v>
      </c>
      <c r="Q398" s="176">
        <f t="shared" si="253"/>
        <v>5.9201470588235301</v>
      </c>
      <c r="R398" s="15">
        <f t="shared" si="233"/>
        <v>0.38684568541072822</v>
      </c>
      <c r="S398" s="170">
        <f t="shared" si="233"/>
        <v>1.4921190722985229</v>
      </c>
      <c r="T398" s="170">
        <f t="shared" si="233"/>
        <v>3.039501813941436</v>
      </c>
      <c r="U398" s="176">
        <f t="shared" si="233"/>
        <v>4.6974118942731282</v>
      </c>
      <c r="V398" s="15">
        <f t="shared" si="233"/>
        <v>0.60924008810572716</v>
      </c>
      <c r="W398" s="170">
        <f t="shared" ref="W398:Y398" si="254">W384*$D369</f>
        <v>1.4921190722985229</v>
      </c>
      <c r="X398" s="170">
        <f t="shared" si="254"/>
        <v>3.039501813941436</v>
      </c>
      <c r="Y398" s="176">
        <f t="shared" si="254"/>
        <v>4.1631964239440276</v>
      </c>
      <c r="Z398" s="135">
        <f t="shared" si="235"/>
        <v>3.8544616480953624</v>
      </c>
      <c r="AA398" s="129">
        <f t="shared" si="228"/>
        <v>8.3344804353459452</v>
      </c>
      <c r="AB398" s="129">
        <f t="shared" si="228"/>
        <v>12.621467996890388</v>
      </c>
      <c r="AC398" s="136">
        <f t="shared" si="228"/>
        <v>17.678588364861366</v>
      </c>
      <c r="AD398" s="135">
        <f t="shared" si="228"/>
        <v>4.9263141357864733</v>
      </c>
      <c r="AE398" s="129">
        <f t="shared" si="228"/>
        <v>8.3344804353459452</v>
      </c>
      <c r="AF398" s="129">
        <f t="shared" si="228"/>
        <v>12.621467996890388</v>
      </c>
      <c r="AG398" s="137">
        <f t="shared" si="228"/>
        <v>16.024208344130606</v>
      </c>
      <c r="AH398" s="143">
        <f t="shared" si="236"/>
        <v>7.4384766778958289</v>
      </c>
      <c r="AI398" s="196">
        <f t="shared" si="237"/>
        <v>13.632892070484584</v>
      </c>
      <c r="AJ398" s="143">
        <f t="shared" si="238"/>
        <v>7.6528471754340508</v>
      </c>
      <c r="AK398" s="196">
        <f t="shared" si="239"/>
        <v>13.302016066338432</v>
      </c>
      <c r="AL398" s="143">
        <f t="shared" si="240"/>
        <v>10.535684374190206</v>
      </c>
      <c r="AM398" s="196">
        <f t="shared" si="241"/>
        <v>10.477431620886241</v>
      </c>
      <c r="AN398" s="197">
        <f t="shared" si="242"/>
        <v>10.506557997538224</v>
      </c>
    </row>
    <row r="399" spans="1:40" x14ac:dyDescent="0.25">
      <c r="A399" s="168" t="s">
        <v>20</v>
      </c>
      <c r="B399" s="135">
        <f t="shared" si="229"/>
        <v>1.72083493397359</v>
      </c>
      <c r="C399" s="129">
        <f t="shared" si="229"/>
        <v>3.4799531812725095</v>
      </c>
      <c r="D399" s="129">
        <f t="shared" si="229"/>
        <v>4.8734657863145268</v>
      </c>
      <c r="E399" s="136">
        <f t="shared" si="229"/>
        <v>6.6383265306122459</v>
      </c>
      <c r="F399" s="135">
        <f t="shared" si="229"/>
        <v>2.1572647058823526</v>
      </c>
      <c r="G399" s="129">
        <f t="shared" ref="G399:I399" si="255">G385*$B370</f>
        <v>3.4799531812725095</v>
      </c>
      <c r="H399" s="129">
        <f t="shared" si="255"/>
        <v>4.8734657863145268</v>
      </c>
      <c r="I399" s="136">
        <f t="shared" si="255"/>
        <v>6.0602484993997612</v>
      </c>
      <c r="J399" s="15">
        <f t="shared" si="231"/>
        <v>1.6266176470588236</v>
      </c>
      <c r="K399" s="170">
        <f t="shared" si="231"/>
        <v>3.1341176470588241</v>
      </c>
      <c r="L399" s="170">
        <f t="shared" si="231"/>
        <v>4.3888235294117646</v>
      </c>
      <c r="M399" s="176">
        <f t="shared" si="231"/>
        <v>5.9135294117647073</v>
      </c>
      <c r="N399" s="15">
        <f t="shared" si="231"/>
        <v>2.0117647058823525</v>
      </c>
      <c r="O399" s="170">
        <f t="shared" ref="O399:Q399" si="256">O385*$C370</f>
        <v>3.1341176470588241</v>
      </c>
      <c r="P399" s="170">
        <f t="shared" si="256"/>
        <v>4.3888235294117646</v>
      </c>
      <c r="Q399" s="176">
        <f t="shared" si="256"/>
        <v>5.4079411764705885</v>
      </c>
      <c r="R399" s="15">
        <f t="shared" si="233"/>
        <v>0.77365186074429793</v>
      </c>
      <c r="S399" s="170">
        <f t="shared" si="233"/>
        <v>2.1200528211284517</v>
      </c>
      <c r="T399" s="170">
        <f t="shared" si="233"/>
        <v>3.7907178871548628</v>
      </c>
      <c r="U399" s="176">
        <f t="shared" si="233"/>
        <v>5.7151548619447796</v>
      </c>
      <c r="V399" s="15">
        <f t="shared" si="233"/>
        <v>1.1014405762304926</v>
      </c>
      <c r="W399" s="170">
        <f t="shared" ref="W399:Y399" si="257">W385*$D370</f>
        <v>2.1200528211284517</v>
      </c>
      <c r="X399" s="170">
        <f t="shared" si="257"/>
        <v>3.7907178871548628</v>
      </c>
      <c r="Y399" s="176">
        <f t="shared" si="257"/>
        <v>5.0860120048019226</v>
      </c>
      <c r="Z399" s="135">
        <f t="shared" si="235"/>
        <v>4.121104441776712</v>
      </c>
      <c r="AA399" s="129">
        <f t="shared" si="228"/>
        <v>8.7341236494597858</v>
      </c>
      <c r="AB399" s="129">
        <f t="shared" si="228"/>
        <v>13.053007202881155</v>
      </c>
      <c r="AC399" s="136">
        <f t="shared" si="228"/>
        <v>18.267010804321732</v>
      </c>
      <c r="AD399" s="135">
        <f t="shared" si="228"/>
        <v>5.2704699879951979</v>
      </c>
      <c r="AE399" s="129">
        <f t="shared" si="228"/>
        <v>8.7341236494597858</v>
      </c>
      <c r="AF399" s="129">
        <f t="shared" si="228"/>
        <v>13.053007202881155</v>
      </c>
      <c r="AG399" s="137">
        <f t="shared" si="228"/>
        <v>16.554201680672271</v>
      </c>
      <c r="AH399" s="143">
        <f>AH$390*AA399+(1-AH$390)*Z399</f>
        <v>7.8115198079231716</v>
      </c>
      <c r="AI399" s="196">
        <f t="shared" si="237"/>
        <v>14.09580792316927</v>
      </c>
      <c r="AJ399" s="143">
        <f t="shared" si="238"/>
        <v>8.0413929171668688</v>
      </c>
      <c r="AK399" s="196">
        <f t="shared" si="239"/>
        <v>13.753246098439377</v>
      </c>
      <c r="AL399" s="143">
        <f t="shared" si="240"/>
        <v>10.95366386554622</v>
      </c>
      <c r="AM399" s="196">
        <f t="shared" si="241"/>
        <v>10.897319507803122</v>
      </c>
      <c r="AN399" s="197">
        <f t="shared" si="242"/>
        <v>10.925491686674672</v>
      </c>
    </row>
    <row r="400" spans="1:40" x14ac:dyDescent="0.25">
      <c r="A400" s="168" t="s">
        <v>21</v>
      </c>
      <c r="B400" s="135">
        <f t="shared" si="229"/>
        <v>1.7893520626283941</v>
      </c>
      <c r="C400" s="129">
        <f t="shared" si="229"/>
        <v>3.5208733551718403</v>
      </c>
      <c r="D400" s="129">
        <f t="shared" si="229"/>
        <v>4.9870534673255245</v>
      </c>
      <c r="E400" s="136">
        <f t="shared" si="229"/>
        <v>7.026438565321194</v>
      </c>
      <c r="F400" s="135">
        <f t="shared" si="229"/>
        <v>2.3251371384154127</v>
      </c>
      <c r="G400" s="129">
        <f t="shared" ref="G400:I400" si="258">G386*$B371</f>
        <v>3.5208733551718403</v>
      </c>
      <c r="H400" s="129">
        <f t="shared" si="258"/>
        <v>4.9870534673255245</v>
      </c>
      <c r="I400" s="136">
        <f t="shared" si="258"/>
        <v>6.337572039309312</v>
      </c>
      <c r="J400" s="15">
        <f t="shared" si="231"/>
        <v>1.4796124590528008</v>
      </c>
      <c r="K400" s="170">
        <f t="shared" si="231"/>
        <v>3.4676225639886735</v>
      </c>
      <c r="L400" s="170">
        <f t="shared" si="231"/>
        <v>5.3223974237965681</v>
      </c>
      <c r="M400" s="176">
        <f t="shared" si="231"/>
        <v>7.4383834878685251</v>
      </c>
      <c r="N400" s="15">
        <f t="shared" si="231"/>
        <v>1.9897632002665033</v>
      </c>
      <c r="O400" s="170">
        <f t="shared" ref="O400:Q400" si="259">O386*$C371</f>
        <v>3.4676225639886735</v>
      </c>
      <c r="P400" s="170">
        <f t="shared" si="259"/>
        <v>5.3223974237965681</v>
      </c>
      <c r="Q400" s="176">
        <f t="shared" si="259"/>
        <v>6.742404641607906</v>
      </c>
      <c r="R400" s="15">
        <f t="shared" si="233"/>
        <v>1.3898537005163514</v>
      </c>
      <c r="S400" s="170">
        <f t="shared" si="233"/>
        <v>2.810627394370107</v>
      </c>
      <c r="T400" s="170">
        <f t="shared" si="233"/>
        <v>3.936115151851646</v>
      </c>
      <c r="U400" s="176">
        <f t="shared" si="233"/>
        <v>5.3615268447060123</v>
      </c>
      <c r="V400" s="15">
        <f t="shared" si="233"/>
        <v>1.7423416245627668</v>
      </c>
      <c r="W400" s="170">
        <f t="shared" ref="W400:Y400" si="260">W386*$D371</f>
        <v>2.810627394370107</v>
      </c>
      <c r="X400" s="170">
        <f t="shared" si="260"/>
        <v>3.936115151851646</v>
      </c>
      <c r="Y400" s="176">
        <f t="shared" si="260"/>
        <v>4.8946349453111981</v>
      </c>
      <c r="Z400" s="135">
        <f t="shared" si="235"/>
        <v>4.6588182221975458</v>
      </c>
      <c r="AA400" s="129">
        <f t="shared" si="228"/>
        <v>9.7991233135306199</v>
      </c>
      <c r="AB400" s="129">
        <f t="shared" si="228"/>
        <v>14.245566042973739</v>
      </c>
      <c r="AC400" s="136">
        <f t="shared" si="228"/>
        <v>19.826348897895731</v>
      </c>
      <c r="AD400" s="135">
        <f t="shared" si="228"/>
        <v>6.0572419632446826</v>
      </c>
      <c r="AE400" s="129">
        <f t="shared" si="228"/>
        <v>9.7991233135306199</v>
      </c>
      <c r="AF400" s="129">
        <f t="shared" si="228"/>
        <v>14.245566042973739</v>
      </c>
      <c r="AG400" s="137">
        <f t="shared" si="228"/>
        <v>17.974611626228416</v>
      </c>
      <c r="AH400" s="143">
        <f t="shared" si="236"/>
        <v>8.7710622952640058</v>
      </c>
      <c r="AI400" s="196">
        <f t="shared" si="237"/>
        <v>15.361722613958136</v>
      </c>
      <c r="AJ400" s="143">
        <f t="shared" si="238"/>
        <v>9.0507470434734323</v>
      </c>
      <c r="AK400" s="196">
        <f t="shared" si="239"/>
        <v>14.991375159624674</v>
      </c>
      <c r="AL400" s="143">
        <f t="shared" si="240"/>
        <v>12.066392454611071</v>
      </c>
      <c r="AM400" s="196">
        <f t="shared" si="241"/>
        <v>12.021061101549053</v>
      </c>
      <c r="AN400" s="197">
        <f t="shared" si="242"/>
        <v>12.043726778080062</v>
      </c>
    </row>
    <row r="401" spans="1:40" x14ac:dyDescent="0.25">
      <c r="A401" s="168" t="s">
        <v>23</v>
      </c>
      <c r="B401" s="135">
        <f t="shared" si="229"/>
        <v>1.6806317984557291</v>
      </c>
      <c r="C401" s="129">
        <f t="shared" si="229"/>
        <v>3.1441033083469541</v>
      </c>
      <c r="D401" s="129">
        <f t="shared" si="229"/>
        <v>5.0588905483852784</v>
      </c>
      <c r="E401" s="136">
        <f t="shared" si="229"/>
        <v>7.670479062165362</v>
      </c>
      <c r="F401" s="135">
        <f t="shared" si="229"/>
        <v>2.1395009299442038</v>
      </c>
      <c r="G401" s="129">
        <f t="shared" ref="G401:I401" si="261">G387*$B372</f>
        <v>3.1441033083469541</v>
      </c>
      <c r="H401" s="129">
        <f t="shared" si="261"/>
        <v>5.0588905483852784</v>
      </c>
      <c r="I401" s="136">
        <f t="shared" si="261"/>
        <v>6.7829544045539087</v>
      </c>
      <c r="J401" s="15">
        <f t="shared" si="231"/>
        <v>1.4777019106126363</v>
      </c>
      <c r="K401" s="170">
        <f t="shared" si="231"/>
        <v>3.2263402468579159</v>
      </c>
      <c r="L401" s="170">
        <f t="shared" si="231"/>
        <v>4.6147063630727612</v>
      </c>
      <c r="M401" s="176">
        <f t="shared" si="231"/>
        <v>6.2139635349151776</v>
      </c>
      <c r="N401" s="15">
        <f t="shared" si="231"/>
        <v>1.9258454038212252</v>
      </c>
      <c r="O401" s="170">
        <f t="shared" ref="O401:Q401" si="262">O387*$C372</f>
        <v>3.2263402468579159</v>
      </c>
      <c r="P401" s="170">
        <f t="shared" si="262"/>
        <v>4.6147063630727612</v>
      </c>
      <c r="Q401" s="176">
        <f t="shared" si="262"/>
        <v>5.6911294595051585</v>
      </c>
      <c r="R401" s="15">
        <f t="shared" si="233"/>
        <v>0.84662402074057364</v>
      </c>
      <c r="S401" s="170">
        <f t="shared" si="233"/>
        <v>2.3520994194893761</v>
      </c>
      <c r="T401" s="170">
        <f t="shared" si="233"/>
        <v>3.732393056416615</v>
      </c>
      <c r="U401" s="176">
        <f t="shared" si="233"/>
        <v>5.3416375472017128</v>
      </c>
      <c r="V401" s="15">
        <f t="shared" si="233"/>
        <v>1.2221693062052637</v>
      </c>
      <c r="W401" s="170">
        <f t="shared" ref="W401:Y401" si="263">W387*$D372</f>
        <v>2.3520994194893761</v>
      </c>
      <c r="X401" s="170">
        <f t="shared" si="263"/>
        <v>3.732393056416615</v>
      </c>
      <c r="Y401" s="176">
        <f t="shared" si="263"/>
        <v>4.8194978301301923</v>
      </c>
      <c r="Z401" s="135">
        <f t="shared" si="235"/>
        <v>4.0049577298089396</v>
      </c>
      <c r="AA401" s="129">
        <f t="shared" si="228"/>
        <v>8.722542974694246</v>
      </c>
      <c r="AB401" s="129">
        <f t="shared" si="228"/>
        <v>13.405989967874655</v>
      </c>
      <c r="AC401" s="136">
        <f t="shared" si="228"/>
        <v>19.226080144282253</v>
      </c>
      <c r="AD401" s="135">
        <f t="shared" si="228"/>
        <v>5.2875156399706933</v>
      </c>
      <c r="AE401" s="129">
        <f t="shared" si="228"/>
        <v>8.722542974694246</v>
      </c>
      <c r="AF401" s="129">
        <f t="shared" si="228"/>
        <v>13.405989967874655</v>
      </c>
      <c r="AG401" s="137">
        <f t="shared" si="228"/>
        <v>17.29358169418926</v>
      </c>
      <c r="AH401" s="143">
        <f t="shared" si="236"/>
        <v>7.7790259257171845</v>
      </c>
      <c r="AI401" s="196">
        <f t="shared" si="237"/>
        <v>14.570008003156175</v>
      </c>
      <c r="AJ401" s="143">
        <f t="shared" si="238"/>
        <v>8.0355375077495346</v>
      </c>
      <c r="AK401" s="196">
        <f t="shared" si="239"/>
        <v>14.183508313137576</v>
      </c>
      <c r="AL401" s="143">
        <f t="shared" si="240"/>
        <v>11.17451696443668</v>
      </c>
      <c r="AM401" s="196">
        <f t="shared" si="241"/>
        <v>11.109522910443555</v>
      </c>
      <c r="AN401" s="197">
        <f t="shared" si="242"/>
        <v>11.142019937440118</v>
      </c>
    </row>
    <row r="402" spans="1:40" ht="15.75" thickBot="1" x14ac:dyDescent="0.3">
      <c r="A402" s="169" t="s">
        <v>24</v>
      </c>
      <c r="B402" s="138">
        <f t="shared" si="229"/>
        <v>0.65159404708012691</v>
      </c>
      <c r="C402" s="139">
        <f t="shared" si="229"/>
        <v>1.7855754866455411</v>
      </c>
      <c r="D402" s="139">
        <f t="shared" si="229"/>
        <v>3.1926624038026254</v>
      </c>
      <c r="E402" s="140">
        <f>E388*$B373</f>
        <v>4.813484042553192</v>
      </c>
      <c r="F402" s="138">
        <f t="shared" ref="F402:I402" si="264">F388*$B373</f>
        <v>0.92766806247170697</v>
      </c>
      <c r="G402" s="139">
        <f t="shared" si="264"/>
        <v>1.7855754866455411</v>
      </c>
      <c r="H402" s="139">
        <f t="shared" si="264"/>
        <v>3.1926624038026254</v>
      </c>
      <c r="I402" s="140">
        <f t="shared" si="264"/>
        <v>4.2836000452693535</v>
      </c>
      <c r="J402" s="177">
        <f t="shared" si="231"/>
        <v>1.5387364191942057</v>
      </c>
      <c r="K402" s="178">
        <f t="shared" si="231"/>
        <v>3.3595999320959709</v>
      </c>
      <c r="L402" s="178">
        <f t="shared" si="231"/>
        <v>4.8053106609325473</v>
      </c>
      <c r="M402" s="145">
        <f t="shared" si="231"/>
        <v>6.4706230194658207</v>
      </c>
      <c r="N402" s="177">
        <f t="shared" si="231"/>
        <v>2.0053898822996827</v>
      </c>
      <c r="O402" s="178">
        <f t="shared" ref="O402:Q402" si="265">O388*$C373</f>
        <v>3.3595999320959709</v>
      </c>
      <c r="P402" s="178">
        <f t="shared" si="265"/>
        <v>4.8053106609325473</v>
      </c>
      <c r="Q402" s="145">
        <f t="shared" si="265"/>
        <v>5.926193979176098</v>
      </c>
      <c r="R402" s="177">
        <f t="shared" si="233"/>
        <v>1.6801674966047986</v>
      </c>
      <c r="S402" s="178">
        <f t="shared" si="233"/>
        <v>3.4996853779990951</v>
      </c>
      <c r="T402" s="178">
        <f t="shared" si="233"/>
        <v>5.1679085559076512</v>
      </c>
      <c r="U402" s="145">
        <f t="shared" si="233"/>
        <v>7.3517281575373472</v>
      </c>
      <c r="V402" s="177">
        <f t="shared" si="233"/>
        <v>2.2013379357175187</v>
      </c>
      <c r="W402" s="178">
        <f t="shared" ref="W402:Y402" si="266">W388*$D373</f>
        <v>3.4996853779990951</v>
      </c>
      <c r="X402" s="178">
        <f t="shared" si="266"/>
        <v>5.1679085559076512</v>
      </c>
      <c r="Y402" s="145">
        <f t="shared" si="266"/>
        <v>6.621133997283839</v>
      </c>
      <c r="Z402" s="138">
        <f t="shared" si="235"/>
        <v>3.8704979628791309</v>
      </c>
      <c r="AA402" s="139">
        <f t="shared" si="228"/>
        <v>8.6448607967406073</v>
      </c>
      <c r="AB402" s="139">
        <f t="shared" si="228"/>
        <v>13.165881620642825</v>
      </c>
      <c r="AC402" s="140">
        <f t="shared" si="228"/>
        <v>18.635835219556359</v>
      </c>
      <c r="AD402" s="138">
        <f t="shared" si="228"/>
        <v>5.134395880488908</v>
      </c>
      <c r="AE402" s="139">
        <f t="shared" si="228"/>
        <v>8.6448607967406073</v>
      </c>
      <c r="AF402" s="139">
        <f t="shared" si="228"/>
        <v>13.165881620642825</v>
      </c>
      <c r="AG402" s="141">
        <f t="shared" si="228"/>
        <v>16.830928021729289</v>
      </c>
      <c r="AH402" s="144">
        <f t="shared" si="236"/>
        <v>7.6899882299683124</v>
      </c>
      <c r="AI402" s="145">
        <f t="shared" si="237"/>
        <v>14.259872340425531</v>
      </c>
      <c r="AJ402" s="144">
        <f t="shared" si="238"/>
        <v>7.9427678134902671</v>
      </c>
      <c r="AK402" s="145">
        <f t="shared" si="239"/>
        <v>13.898890900860117</v>
      </c>
      <c r="AL402" s="144">
        <f t="shared" si="240"/>
        <v>10.974930285196923</v>
      </c>
      <c r="AM402" s="145">
        <f t="shared" si="241"/>
        <v>10.920829357175192</v>
      </c>
      <c r="AN402" s="198">
        <f t="shared" si="242"/>
        <v>10.947879821186056</v>
      </c>
    </row>
    <row r="404" spans="1:40" ht="15.75" thickBot="1" x14ac:dyDescent="0.3">
      <c r="A404" s="1" t="s">
        <v>179</v>
      </c>
    </row>
    <row r="405" spans="1:40" x14ac:dyDescent="0.25">
      <c r="A405" s="233" t="s">
        <v>27</v>
      </c>
      <c r="B405" s="233" t="s">
        <v>167</v>
      </c>
      <c r="C405" s="233" t="s">
        <v>180</v>
      </c>
    </row>
    <row r="406" spans="1:40" ht="15.75" thickBot="1" x14ac:dyDescent="0.3">
      <c r="A406" s="249"/>
      <c r="B406" s="249"/>
      <c r="C406" s="249" t="s">
        <v>180</v>
      </c>
    </row>
    <row r="407" spans="1:40" x14ac:dyDescent="0.25">
      <c r="A407" s="158" t="s">
        <v>25</v>
      </c>
      <c r="B407" s="206">
        <v>12.7056586313808</v>
      </c>
      <c r="C407" s="205">
        <v>12.706</v>
      </c>
    </row>
    <row r="408" spans="1:40" x14ac:dyDescent="0.25">
      <c r="A408" s="159" t="s">
        <v>15</v>
      </c>
      <c r="B408" s="124">
        <v>12.332104154873768</v>
      </c>
      <c r="C408" s="82">
        <v>12.333</v>
      </c>
    </row>
    <row r="409" spans="1:40" x14ac:dyDescent="0.25">
      <c r="A409" s="159" t="s">
        <v>21</v>
      </c>
      <c r="B409" s="124">
        <v>12.043726778080062</v>
      </c>
      <c r="C409" s="82">
        <v>12.044</v>
      </c>
    </row>
    <row r="410" spans="1:40" x14ac:dyDescent="0.25">
      <c r="A410" s="159" t="s">
        <v>16</v>
      </c>
      <c r="B410" s="124">
        <v>11.890057720254312</v>
      </c>
      <c r="C410" s="82">
        <v>11.89</v>
      </c>
    </row>
    <row r="411" spans="1:40" x14ac:dyDescent="0.25">
      <c r="A411" s="159" t="s">
        <v>18</v>
      </c>
      <c r="B411" s="124">
        <v>11.612508093962997</v>
      </c>
      <c r="C411" s="82">
        <v>11.614000000000001</v>
      </c>
    </row>
    <row r="412" spans="1:40" x14ac:dyDescent="0.25">
      <c r="A412" s="159" t="s">
        <v>23</v>
      </c>
      <c r="B412" s="124">
        <v>11.142019937440118</v>
      </c>
      <c r="C412" s="82">
        <v>11.143000000000001</v>
      </c>
    </row>
    <row r="413" spans="1:40" x14ac:dyDescent="0.25">
      <c r="A413" s="159" t="s">
        <v>24</v>
      </c>
      <c r="B413" s="124">
        <v>10.947879821186056</v>
      </c>
      <c r="C413" s="82">
        <v>10.948</v>
      </c>
    </row>
    <row r="414" spans="1:40" x14ac:dyDescent="0.25">
      <c r="A414" s="159" t="s">
        <v>20</v>
      </c>
      <c r="B414" s="124">
        <v>10.925491686674672</v>
      </c>
      <c r="C414" s="82">
        <v>10.926</v>
      </c>
    </row>
    <row r="415" spans="1:40" x14ac:dyDescent="0.25">
      <c r="A415" s="159" t="s">
        <v>19</v>
      </c>
      <c r="B415" s="124">
        <v>10.506557997538224</v>
      </c>
      <c r="C415" s="82">
        <v>10.505000000000001</v>
      </c>
    </row>
    <row r="416" spans="1:40" ht="15.75" thickBot="1" x14ac:dyDescent="0.3">
      <c r="A416" s="160" t="s">
        <v>14</v>
      </c>
      <c r="B416" s="207">
        <v>7.0291120824892213</v>
      </c>
      <c r="C416" s="83">
        <v>7.03</v>
      </c>
    </row>
  </sheetData>
  <sortState xmlns:xlrd2="http://schemas.microsoft.com/office/spreadsheetml/2017/richdata2" ref="A407:B416">
    <sortCondition descending="1" ref="B407:B416"/>
  </sortState>
  <mergeCells count="141">
    <mergeCell ref="A5:E5"/>
    <mergeCell ref="A7:E7"/>
    <mergeCell ref="A12:A13"/>
    <mergeCell ref="B12:B13"/>
    <mergeCell ref="C12:C13"/>
    <mergeCell ref="D12:F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BO12:BR12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E40:L40"/>
    <mergeCell ref="E46:L46"/>
    <mergeCell ref="A64:A65"/>
    <mergeCell ref="B64:B65"/>
    <mergeCell ref="C64:C65"/>
    <mergeCell ref="D64:F64"/>
    <mergeCell ref="G64:I64"/>
    <mergeCell ref="J64:J65"/>
    <mergeCell ref="AA13:AD13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Q65:BR65"/>
    <mergeCell ref="BG65:BJ65"/>
    <mergeCell ref="BK65:BN65"/>
    <mergeCell ref="BO65:BP65"/>
    <mergeCell ref="E92:L92"/>
    <mergeCell ref="E98:L98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BG116:BN116"/>
    <mergeCell ref="BO116:BR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BO117:BP117"/>
    <mergeCell ref="BQ117:BR117"/>
    <mergeCell ref="E144:L144"/>
    <mergeCell ref="E150:L150"/>
    <mergeCell ref="AI117:AL117"/>
    <mergeCell ref="AM117:AP117"/>
    <mergeCell ref="AQ117:AT117"/>
    <mergeCell ref="AU117:AX117"/>
    <mergeCell ref="AY117:BB117"/>
    <mergeCell ref="BC117:BF117"/>
    <mergeCell ref="J377:Q377"/>
    <mergeCell ref="R377:Y377"/>
    <mergeCell ref="B377:I377"/>
    <mergeCell ref="B378:E378"/>
    <mergeCell ref="F378:I378"/>
    <mergeCell ref="J378:M378"/>
    <mergeCell ref="N378:Q378"/>
    <mergeCell ref="R378:U378"/>
    <mergeCell ref="V378:Y378"/>
    <mergeCell ref="A177:I177"/>
    <mergeCell ref="A178:D178"/>
    <mergeCell ref="A220:I220"/>
    <mergeCell ref="A221:D221"/>
    <mergeCell ref="C405:C406"/>
    <mergeCell ref="A405:A406"/>
    <mergeCell ref="B405:B406"/>
    <mergeCell ref="A263:I263"/>
    <mergeCell ref="A264:D264"/>
    <mergeCell ref="AL391:AM391"/>
    <mergeCell ref="AN391:AN392"/>
    <mergeCell ref="B392:E392"/>
    <mergeCell ref="F392:I392"/>
    <mergeCell ref="J392:M392"/>
    <mergeCell ref="N392:Q392"/>
    <mergeCell ref="R392:U392"/>
    <mergeCell ref="V392:Y392"/>
    <mergeCell ref="Z392:AC392"/>
    <mergeCell ref="AD392:AG392"/>
    <mergeCell ref="A391:A392"/>
    <mergeCell ref="B391:I391"/>
    <mergeCell ref="J391:Q391"/>
    <mergeCell ref="R391:Y391"/>
    <mergeCell ref="Z391:AG391"/>
    <mergeCell ref="AH391:AK391"/>
    <mergeCell ref="AH392:AI392"/>
    <mergeCell ref="AJ392:AK392"/>
    <mergeCell ref="A377:A378"/>
  </mergeCells>
  <hyperlinks>
    <hyperlink ref="B4" r:id="rId1" xr:uid="{8170F1F6-6CF0-4C36-873C-59BD9FAD94B8}"/>
    <hyperlink ref="B6" r:id="rId2" xr:uid="{05EE53DE-C99A-4B8A-BA65-7C17F6AD540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J128"/>
  <sheetViews>
    <sheetView zoomScaleNormal="100" workbookViewId="0">
      <selection activeCell="B106" sqref="B106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" customWidth="1"/>
    <col min="6" max="6" width="18" customWidth="1"/>
    <col min="10" max="10" width="17.85546875" customWidth="1"/>
  </cols>
  <sheetData>
    <row r="1" spans="1:10" ht="18.75" x14ac:dyDescent="0.3">
      <c r="A1" s="203" t="s">
        <v>242</v>
      </c>
      <c r="C1" s="37"/>
    </row>
    <row r="2" spans="1:10" ht="18.75" x14ac:dyDescent="0.3">
      <c r="A2" s="203"/>
      <c r="C2" s="37"/>
    </row>
    <row r="3" spans="1:10" ht="18.75" x14ac:dyDescent="0.3">
      <c r="A3" s="1" t="s">
        <v>36</v>
      </c>
      <c r="B3" s="202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46" t="s">
        <v>221</v>
      </c>
      <c r="B5" s="247"/>
      <c r="C5" s="247"/>
      <c r="D5" s="248"/>
      <c r="E5" s="248"/>
    </row>
    <row r="6" spans="1:10" ht="15.75" x14ac:dyDescent="0.25">
      <c r="A6" s="81"/>
      <c r="B6" s="38"/>
      <c r="C6" s="38"/>
    </row>
    <row r="7" spans="1:10" ht="15.75" x14ac:dyDescent="0.25">
      <c r="A7" s="81"/>
      <c r="B7" s="38"/>
      <c r="C7" s="38"/>
    </row>
    <row r="8" spans="1:10" ht="18.75" x14ac:dyDescent="0.3">
      <c r="A8" s="84" t="s">
        <v>91</v>
      </c>
      <c r="B8" s="38"/>
      <c r="C8" s="38"/>
    </row>
    <row r="9" spans="1:10" x14ac:dyDescent="0.25">
      <c r="A9" s="1" t="s">
        <v>49</v>
      </c>
      <c r="B9" s="38"/>
      <c r="C9" s="38"/>
    </row>
    <row r="10" spans="1:10" x14ac:dyDescent="0.25">
      <c r="A10" s="39" t="s">
        <v>94</v>
      </c>
      <c r="B10" s="38"/>
      <c r="C10" s="38"/>
    </row>
    <row r="11" spans="1:10" ht="75.75" customHeight="1" x14ac:dyDescent="0.25">
      <c r="A11" s="242" t="s">
        <v>26</v>
      </c>
      <c r="B11" s="242" t="s">
        <v>27</v>
      </c>
      <c r="C11" s="242" t="s">
        <v>28</v>
      </c>
      <c r="D11" s="242" t="s">
        <v>58</v>
      </c>
      <c r="E11" s="242"/>
      <c r="F11" s="242"/>
      <c r="G11" s="242" t="s">
        <v>59</v>
      </c>
      <c r="H11" s="242"/>
      <c r="I11" s="242"/>
      <c r="J11" s="242" t="s">
        <v>54</v>
      </c>
    </row>
    <row r="12" spans="1:10" s="36" customFormat="1" ht="18" customHeight="1" x14ac:dyDescent="0.25">
      <c r="A12" s="242"/>
      <c r="B12" s="242"/>
      <c r="C12" s="242"/>
      <c r="D12" s="45" t="s">
        <v>50</v>
      </c>
      <c r="E12" s="45" t="s">
        <v>51</v>
      </c>
      <c r="F12" s="45" t="s">
        <v>52</v>
      </c>
      <c r="G12" s="45" t="s">
        <v>50</v>
      </c>
      <c r="H12" s="45" t="s">
        <v>51</v>
      </c>
      <c r="I12" s="45" t="s">
        <v>52</v>
      </c>
      <c r="J12" s="242"/>
    </row>
    <row r="13" spans="1:10" ht="30" x14ac:dyDescent="0.25">
      <c r="A13" s="41" t="s">
        <v>0</v>
      </c>
      <c r="B13" s="41" t="s">
        <v>25</v>
      </c>
      <c r="C13" s="42" t="s">
        <v>13</v>
      </c>
      <c r="D13" s="91" t="s">
        <v>44</v>
      </c>
      <c r="E13" s="91" t="s">
        <v>45</v>
      </c>
      <c r="F13" s="91" t="s">
        <v>44</v>
      </c>
      <c r="G13" s="48">
        <f>IF(D13=$A$26,$B$26,(IF(D13=$A$27,$B$27,IF(D13=$A$28,$B$28,$B$29))))</f>
        <v>1</v>
      </c>
      <c r="H13" s="48">
        <f t="shared" ref="H13:I22" si="0">IF(E13=$A$26,$B$26,(IF(E13=$A$27,$B$27,IF(E13=$A$28,$B$28,$B$29))))</f>
        <v>0.66</v>
      </c>
      <c r="I13" s="48">
        <f t="shared" si="0"/>
        <v>1</v>
      </c>
      <c r="J13" s="2">
        <f>G13*$D$33+H13*$D$34+I13*$D$35</f>
        <v>14.15</v>
      </c>
    </row>
    <row r="14" spans="1:10" x14ac:dyDescent="0.25">
      <c r="A14" s="41" t="s">
        <v>1</v>
      </c>
      <c r="B14" s="41" t="s">
        <v>14</v>
      </c>
      <c r="C14" s="42" t="s">
        <v>29</v>
      </c>
      <c r="D14" s="91" t="s">
        <v>46</v>
      </c>
      <c r="E14" s="91" t="s">
        <v>46</v>
      </c>
      <c r="F14" s="91" t="s">
        <v>45</v>
      </c>
      <c r="G14" s="48">
        <f>IF(D14=$A$26,$B$26,(IF(D14=$A$27,$B$27,IF(D14=$A$28,$B$28,$B$29))))</f>
        <v>0.33</v>
      </c>
      <c r="H14" s="48">
        <f t="shared" si="0"/>
        <v>0.33</v>
      </c>
      <c r="I14" s="48">
        <f t="shared" si="0"/>
        <v>0.66</v>
      </c>
      <c r="J14" s="2">
        <f t="shared" ref="J14:J22" si="1">G14*$D$33+H14*$D$34+I14*$D$35</f>
        <v>6.6000000000000005</v>
      </c>
    </row>
    <row r="15" spans="1:10" x14ac:dyDescent="0.25">
      <c r="A15" s="41" t="s">
        <v>2</v>
      </c>
      <c r="B15" s="41" t="s">
        <v>15</v>
      </c>
      <c r="C15" s="42" t="s">
        <v>30</v>
      </c>
      <c r="D15" s="91" t="s">
        <v>45</v>
      </c>
      <c r="E15" s="91" t="s">
        <v>45</v>
      </c>
      <c r="F15" s="91" t="s">
        <v>45</v>
      </c>
      <c r="G15" s="48">
        <f t="shared" ref="G15:G22" si="2">IF(D15=$A$26,$B$26,(IF(D15=$A$27,$B$27,IF(D15=$A$28,$B$28,$B$29))))</f>
        <v>0.66</v>
      </c>
      <c r="H15" s="48">
        <f t="shared" si="0"/>
        <v>0.66</v>
      </c>
      <c r="I15" s="48">
        <f t="shared" si="0"/>
        <v>0.66</v>
      </c>
      <c r="J15" s="2">
        <f t="shared" si="1"/>
        <v>9.9</v>
      </c>
    </row>
    <row r="16" spans="1:10" x14ac:dyDescent="0.25">
      <c r="A16" s="41" t="s">
        <v>6</v>
      </c>
      <c r="B16" s="41" t="s">
        <v>16</v>
      </c>
      <c r="C16" s="42" t="s">
        <v>17</v>
      </c>
      <c r="D16" s="91" t="s">
        <v>44</v>
      </c>
      <c r="E16" s="91" t="s">
        <v>45</v>
      </c>
      <c r="F16" s="91" t="s">
        <v>45</v>
      </c>
      <c r="G16" s="48">
        <f t="shared" si="2"/>
        <v>1</v>
      </c>
      <c r="H16" s="48">
        <f t="shared" si="0"/>
        <v>0.66</v>
      </c>
      <c r="I16" s="48">
        <f t="shared" si="0"/>
        <v>0.66</v>
      </c>
      <c r="J16" s="2">
        <f t="shared" si="1"/>
        <v>12.450000000000001</v>
      </c>
    </row>
    <row r="17" spans="1:10" ht="30" x14ac:dyDescent="0.25">
      <c r="A17" s="41" t="s">
        <v>7</v>
      </c>
      <c r="B17" s="41" t="s">
        <v>18</v>
      </c>
      <c r="C17" s="42" t="s">
        <v>31</v>
      </c>
      <c r="D17" s="91" t="s">
        <v>45</v>
      </c>
      <c r="E17" s="91" t="s">
        <v>44</v>
      </c>
      <c r="F17" s="91" t="s">
        <v>45</v>
      </c>
      <c r="G17" s="48">
        <f t="shared" si="2"/>
        <v>0.66</v>
      </c>
      <c r="H17" s="48">
        <f t="shared" si="0"/>
        <v>1</v>
      </c>
      <c r="I17" s="48">
        <f t="shared" si="0"/>
        <v>0.66</v>
      </c>
      <c r="J17" s="2">
        <f t="shared" si="1"/>
        <v>10.75</v>
      </c>
    </row>
    <row r="18" spans="1:10" x14ac:dyDescent="0.25">
      <c r="A18" s="41" t="s">
        <v>8</v>
      </c>
      <c r="B18" s="41" t="s">
        <v>19</v>
      </c>
      <c r="C18" s="42" t="s">
        <v>32</v>
      </c>
      <c r="D18" s="91" t="s">
        <v>44</v>
      </c>
      <c r="E18" s="91" t="s">
        <v>45</v>
      </c>
      <c r="F18" s="91" t="s">
        <v>46</v>
      </c>
      <c r="G18" s="48">
        <f t="shared" si="2"/>
        <v>1</v>
      </c>
      <c r="H18" s="48">
        <f t="shared" si="0"/>
        <v>0.66</v>
      </c>
      <c r="I18" s="48">
        <f t="shared" si="0"/>
        <v>0.33</v>
      </c>
      <c r="J18" s="2">
        <f t="shared" si="1"/>
        <v>10.8</v>
      </c>
    </row>
    <row r="19" spans="1:10" ht="30" x14ac:dyDescent="0.25">
      <c r="A19" s="41" t="s">
        <v>9</v>
      </c>
      <c r="B19" s="41" t="s">
        <v>20</v>
      </c>
      <c r="C19" s="42" t="s">
        <v>33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10</v>
      </c>
      <c r="B20" s="41" t="s">
        <v>21</v>
      </c>
      <c r="C20" s="42" t="s">
        <v>22</v>
      </c>
      <c r="D20" s="91" t="s">
        <v>45</v>
      </c>
      <c r="E20" s="91" t="s">
        <v>44</v>
      </c>
      <c r="F20" s="91" t="s">
        <v>44</v>
      </c>
      <c r="G20" s="48">
        <f t="shared" si="2"/>
        <v>0.66</v>
      </c>
      <c r="H20" s="48">
        <f t="shared" si="0"/>
        <v>1</v>
      </c>
      <c r="I20" s="48">
        <f t="shared" si="0"/>
        <v>1</v>
      </c>
      <c r="J20" s="2">
        <f t="shared" si="1"/>
        <v>12.45</v>
      </c>
    </row>
    <row r="21" spans="1:10" ht="35.25" customHeight="1" x14ac:dyDescent="0.25">
      <c r="A21" s="41" t="s">
        <v>11</v>
      </c>
      <c r="B21" s="41" t="s">
        <v>23</v>
      </c>
      <c r="C21" s="42" t="s">
        <v>34</v>
      </c>
      <c r="D21" s="91" t="s">
        <v>45</v>
      </c>
      <c r="E21" s="91" t="s">
        <v>44</v>
      </c>
      <c r="F21" s="91" t="s">
        <v>45</v>
      </c>
      <c r="G21" s="48">
        <f t="shared" si="2"/>
        <v>0.66</v>
      </c>
      <c r="H21" s="48">
        <f t="shared" si="0"/>
        <v>1</v>
      </c>
      <c r="I21" s="48">
        <f t="shared" si="0"/>
        <v>0.66</v>
      </c>
      <c r="J21" s="2">
        <f t="shared" si="1"/>
        <v>10.75</v>
      </c>
    </row>
    <row r="22" spans="1:10" ht="30" x14ac:dyDescent="0.25">
      <c r="A22" s="41" t="s">
        <v>12</v>
      </c>
      <c r="B22" s="41" t="s">
        <v>24</v>
      </c>
      <c r="C22" s="42" t="s">
        <v>35</v>
      </c>
      <c r="D22" s="91" t="s">
        <v>46</v>
      </c>
      <c r="E22" s="91" t="s">
        <v>44</v>
      </c>
      <c r="F22" s="91" t="s">
        <v>45</v>
      </c>
      <c r="G22" s="48">
        <f t="shared" si="2"/>
        <v>0.33</v>
      </c>
      <c r="H22" s="48">
        <f t="shared" si="0"/>
        <v>1</v>
      </c>
      <c r="I22" s="48">
        <f t="shared" si="0"/>
        <v>0.66</v>
      </c>
      <c r="J22" s="2">
        <f t="shared" si="1"/>
        <v>8.2750000000000004</v>
      </c>
    </row>
    <row r="24" spans="1:10" x14ac:dyDescent="0.25">
      <c r="A24" s="39" t="s">
        <v>95</v>
      </c>
    </row>
    <row r="25" spans="1:10" x14ac:dyDescent="0.25">
      <c r="A25" s="45" t="s">
        <v>43</v>
      </c>
      <c r="B25" s="46" t="s">
        <v>55</v>
      </c>
      <c r="C25" s="46" t="s">
        <v>56</v>
      </c>
    </row>
    <row r="26" spans="1:10" x14ac:dyDescent="0.25">
      <c r="A26" s="41" t="s">
        <v>44</v>
      </c>
      <c r="B26" s="2">
        <v>1</v>
      </c>
      <c r="C26" s="2">
        <v>7.5</v>
      </c>
    </row>
    <row r="27" spans="1:10" x14ac:dyDescent="0.25">
      <c r="A27" s="41" t="s">
        <v>45</v>
      </c>
      <c r="B27" s="2">
        <v>0.66</v>
      </c>
      <c r="C27" s="2">
        <v>5</v>
      </c>
    </row>
    <row r="28" spans="1:10" x14ac:dyDescent="0.25">
      <c r="A28" s="41" t="s">
        <v>46</v>
      </c>
      <c r="B28" s="2">
        <v>0.33</v>
      </c>
      <c r="C28" s="2">
        <v>2.5</v>
      </c>
    </row>
    <row r="29" spans="1:10" x14ac:dyDescent="0.25">
      <c r="A29" s="41" t="s">
        <v>47</v>
      </c>
      <c r="B29" s="2">
        <v>0</v>
      </c>
      <c r="C29" s="2">
        <v>1</v>
      </c>
    </row>
    <row r="31" spans="1:10" x14ac:dyDescent="0.25">
      <c r="A31" s="39" t="s">
        <v>96</v>
      </c>
    </row>
    <row r="32" spans="1:10" ht="60.75" thickBot="1" x14ac:dyDescent="0.3">
      <c r="A32" s="45" t="s">
        <v>53</v>
      </c>
      <c r="B32" s="46" t="s">
        <v>39</v>
      </c>
      <c r="C32" s="45" t="s">
        <v>48</v>
      </c>
      <c r="D32" s="47" t="s">
        <v>105</v>
      </c>
    </row>
    <row r="33" spans="1:10" x14ac:dyDescent="0.25">
      <c r="A33" s="63" t="s">
        <v>50</v>
      </c>
      <c r="B33" s="43" t="s">
        <v>40</v>
      </c>
      <c r="C33" s="2" t="s">
        <v>44</v>
      </c>
      <c r="D33" s="85">
        <v>7.5</v>
      </c>
    </row>
    <row r="34" spans="1:10" x14ac:dyDescent="0.25">
      <c r="A34" s="64" t="s">
        <v>51</v>
      </c>
      <c r="B34" s="43" t="s">
        <v>41</v>
      </c>
      <c r="C34" s="2" t="s">
        <v>46</v>
      </c>
      <c r="D34" s="85">
        <v>2.5</v>
      </c>
    </row>
    <row r="35" spans="1:10" ht="15.75" thickBot="1" x14ac:dyDescent="0.3">
      <c r="A35" s="65" t="s">
        <v>52</v>
      </c>
      <c r="B35" s="43" t="s">
        <v>42</v>
      </c>
      <c r="C35" s="2" t="s">
        <v>45</v>
      </c>
      <c r="D35" s="85">
        <v>5</v>
      </c>
    </row>
    <row r="38" spans="1:10" ht="18.75" x14ac:dyDescent="0.3">
      <c r="A38" s="84" t="s">
        <v>92</v>
      </c>
      <c r="B38" s="38"/>
      <c r="C38" s="38"/>
    </row>
    <row r="39" spans="1:10" x14ac:dyDescent="0.25">
      <c r="A39" s="1" t="s">
        <v>49</v>
      </c>
      <c r="B39" s="38"/>
      <c r="C39" s="38"/>
    </row>
    <row r="40" spans="1:10" x14ac:dyDescent="0.25">
      <c r="A40" s="39" t="s">
        <v>97</v>
      </c>
      <c r="B40" s="38"/>
      <c r="C40" s="38"/>
    </row>
    <row r="41" spans="1:10" ht="75.75" customHeight="1" x14ac:dyDescent="0.25">
      <c r="A41" s="242" t="s">
        <v>26</v>
      </c>
      <c r="B41" s="242" t="s">
        <v>27</v>
      </c>
      <c r="C41" s="242" t="s">
        <v>28</v>
      </c>
      <c r="D41" s="242" t="s">
        <v>58</v>
      </c>
      <c r="E41" s="242"/>
      <c r="F41" s="242"/>
      <c r="G41" s="242" t="s">
        <v>59</v>
      </c>
      <c r="H41" s="242"/>
      <c r="I41" s="242"/>
      <c r="J41" s="242" t="s">
        <v>54</v>
      </c>
    </row>
    <row r="42" spans="1:10" s="36" customFormat="1" ht="18" customHeight="1" x14ac:dyDescent="0.25">
      <c r="A42" s="242"/>
      <c r="B42" s="242"/>
      <c r="C42" s="242"/>
      <c r="D42" s="45" t="s">
        <v>50</v>
      </c>
      <c r="E42" s="45" t="s">
        <v>51</v>
      </c>
      <c r="F42" s="45" t="s">
        <v>52</v>
      </c>
      <c r="G42" s="45" t="s">
        <v>50</v>
      </c>
      <c r="H42" s="45" t="s">
        <v>51</v>
      </c>
      <c r="I42" s="45" t="s">
        <v>52</v>
      </c>
      <c r="J42" s="242"/>
    </row>
    <row r="43" spans="1:10" ht="30" x14ac:dyDescent="0.25">
      <c r="A43" s="41" t="s">
        <v>0</v>
      </c>
      <c r="B43" s="41" t="s">
        <v>25</v>
      </c>
      <c r="C43" s="42" t="s">
        <v>13</v>
      </c>
      <c r="D43" s="91" t="s">
        <v>46</v>
      </c>
      <c r="E43" s="91" t="s">
        <v>45</v>
      </c>
      <c r="F43" s="91" t="s">
        <v>44</v>
      </c>
      <c r="G43" s="48">
        <f>IF(D43=$A$26,$B$26,(IF(D43=$A$27,$B$27,IF(D43=$A$28,$B$28,$B$29))))</f>
        <v>0.33</v>
      </c>
      <c r="H43" s="48">
        <f t="shared" ref="H43:H52" si="3">IF(E43=$A$26,$B$26,(IF(E43=$A$27,$B$27,IF(E43=$A$28,$B$28,$B$29))))</f>
        <v>0.66</v>
      </c>
      <c r="I43" s="48">
        <f t="shared" ref="I43:I52" si="4">IF(F43=$A$26,$B$26,(IF(F43=$A$27,$B$27,IF(F43=$A$28,$B$28,$B$29))))</f>
        <v>1</v>
      </c>
      <c r="J43" s="2">
        <f>G43*$D$63+H43*$D$64+I43*$D$65</f>
        <v>12.425000000000001</v>
      </c>
    </row>
    <row r="44" spans="1:10" x14ac:dyDescent="0.25">
      <c r="A44" s="41" t="s">
        <v>1</v>
      </c>
      <c r="B44" s="41" t="s">
        <v>14</v>
      </c>
      <c r="C44" s="42" t="s">
        <v>29</v>
      </c>
      <c r="D44" s="91" t="s">
        <v>46</v>
      </c>
      <c r="E44" s="91" t="s">
        <v>46</v>
      </c>
      <c r="F44" s="91" t="s">
        <v>45</v>
      </c>
      <c r="G44" s="48">
        <f>IF(D44=$A$26,$B$26,(IF(D44=$A$27,$B$27,IF(D44=$A$28,$B$28,$B$29))))</f>
        <v>0.33</v>
      </c>
      <c r="H44" s="48">
        <f t="shared" si="3"/>
        <v>0.33</v>
      </c>
      <c r="I44" s="48">
        <f t="shared" si="4"/>
        <v>0.66</v>
      </c>
      <c r="J44" s="2">
        <f t="shared" ref="J44:J52" si="5">G44*$D$63+H44*$D$64+I44*$D$65</f>
        <v>8.25</v>
      </c>
    </row>
    <row r="45" spans="1:10" x14ac:dyDescent="0.25">
      <c r="A45" s="41" t="s">
        <v>2</v>
      </c>
      <c r="B45" s="41" t="s">
        <v>15</v>
      </c>
      <c r="C45" s="42" t="s">
        <v>30</v>
      </c>
      <c r="D45" s="91" t="s">
        <v>45</v>
      </c>
      <c r="E45" s="91" t="s">
        <v>44</v>
      </c>
      <c r="F45" s="91" t="s">
        <v>45</v>
      </c>
      <c r="G45" s="48">
        <f t="shared" ref="G45:G52" si="6">IF(D45=$A$26,$B$26,(IF(D45=$A$27,$B$27,IF(D45=$A$28,$B$28,$B$29))))</f>
        <v>0.66</v>
      </c>
      <c r="H45" s="48">
        <f t="shared" si="3"/>
        <v>1</v>
      </c>
      <c r="I45" s="48">
        <f t="shared" si="4"/>
        <v>0.66</v>
      </c>
      <c r="J45" s="2">
        <f t="shared" si="5"/>
        <v>15.75</v>
      </c>
    </row>
    <row r="46" spans="1:10" x14ac:dyDescent="0.25">
      <c r="A46" s="41" t="s">
        <v>6</v>
      </c>
      <c r="B46" s="41" t="s">
        <v>16</v>
      </c>
      <c r="C46" s="42" t="s">
        <v>17</v>
      </c>
      <c r="D46" s="91" t="s">
        <v>44</v>
      </c>
      <c r="E46" s="91" t="s">
        <v>45</v>
      </c>
      <c r="F46" s="91" t="s">
        <v>46</v>
      </c>
      <c r="G46" s="48">
        <f t="shared" si="6"/>
        <v>1</v>
      </c>
      <c r="H46" s="48">
        <f t="shared" si="3"/>
        <v>0.66</v>
      </c>
      <c r="I46" s="48">
        <f t="shared" si="4"/>
        <v>0.33</v>
      </c>
      <c r="J46" s="2">
        <f t="shared" si="5"/>
        <v>14.1</v>
      </c>
    </row>
    <row r="47" spans="1:10" ht="30" x14ac:dyDescent="0.25">
      <c r="A47" s="41" t="s">
        <v>7</v>
      </c>
      <c r="B47" s="41" t="s">
        <v>18</v>
      </c>
      <c r="C47" s="42" t="s">
        <v>31</v>
      </c>
      <c r="D47" s="91" t="s">
        <v>45</v>
      </c>
      <c r="E47" s="91" t="s">
        <v>44</v>
      </c>
      <c r="F47" s="91" t="s">
        <v>45</v>
      </c>
      <c r="G47" s="48">
        <f t="shared" si="6"/>
        <v>0.66</v>
      </c>
      <c r="H47" s="48">
        <f t="shared" si="3"/>
        <v>1</v>
      </c>
      <c r="I47" s="48">
        <f t="shared" si="4"/>
        <v>0.66</v>
      </c>
      <c r="J47" s="2">
        <f t="shared" si="5"/>
        <v>15.75</v>
      </c>
    </row>
    <row r="48" spans="1:10" x14ac:dyDescent="0.25">
      <c r="A48" s="41" t="s">
        <v>8</v>
      </c>
      <c r="B48" s="41" t="s">
        <v>19</v>
      </c>
      <c r="C48" s="42" t="s">
        <v>32</v>
      </c>
      <c r="D48" s="91" t="s">
        <v>44</v>
      </c>
      <c r="E48" s="91" t="s">
        <v>45</v>
      </c>
      <c r="F48" s="91" t="s">
        <v>46</v>
      </c>
      <c r="G48" s="48">
        <f t="shared" si="6"/>
        <v>1</v>
      </c>
      <c r="H48" s="48">
        <f t="shared" si="3"/>
        <v>0.66</v>
      </c>
      <c r="I48" s="48">
        <f t="shared" si="4"/>
        <v>0.33</v>
      </c>
      <c r="J48" s="2">
        <f t="shared" si="5"/>
        <v>14.1</v>
      </c>
    </row>
    <row r="49" spans="1:10" ht="30" x14ac:dyDescent="0.25">
      <c r="A49" s="41" t="s">
        <v>9</v>
      </c>
      <c r="B49" s="41" t="s">
        <v>20</v>
      </c>
      <c r="C49" s="42" t="s">
        <v>33</v>
      </c>
      <c r="D49" s="91" t="s">
        <v>44</v>
      </c>
      <c r="E49" s="91" t="s">
        <v>45</v>
      </c>
      <c r="F49" s="91" t="s">
        <v>46</v>
      </c>
      <c r="G49" s="48">
        <f t="shared" si="6"/>
        <v>1</v>
      </c>
      <c r="H49" s="48">
        <f t="shared" si="3"/>
        <v>0.66</v>
      </c>
      <c r="I49" s="48">
        <f t="shared" si="4"/>
        <v>0.33</v>
      </c>
      <c r="J49" s="2">
        <f t="shared" si="5"/>
        <v>14.1</v>
      </c>
    </row>
    <row r="50" spans="1:10" ht="30" x14ac:dyDescent="0.25">
      <c r="A50" s="41" t="s">
        <v>10</v>
      </c>
      <c r="B50" s="41" t="s">
        <v>21</v>
      </c>
      <c r="C50" s="42" t="s">
        <v>22</v>
      </c>
      <c r="D50" s="91" t="s">
        <v>45</v>
      </c>
      <c r="E50" s="91" t="s">
        <v>46</v>
      </c>
      <c r="F50" s="91" t="s">
        <v>44</v>
      </c>
      <c r="G50" s="48">
        <f>IF(D50=$A$26,$B$26,(IF(D50=$A$27,$B$27,IF(D50=$A$28,$B$28,$B$29))))</f>
        <v>0.66</v>
      </c>
      <c r="H50" s="48">
        <f t="shared" si="3"/>
        <v>0.33</v>
      </c>
      <c r="I50" s="48">
        <f t="shared" si="4"/>
        <v>1</v>
      </c>
      <c r="J50" s="2">
        <f t="shared" si="5"/>
        <v>12.425000000000001</v>
      </c>
    </row>
    <row r="51" spans="1:10" ht="35.25" customHeight="1" x14ac:dyDescent="0.25">
      <c r="A51" s="41" t="s">
        <v>11</v>
      </c>
      <c r="B51" s="41" t="s">
        <v>23</v>
      </c>
      <c r="C51" s="42" t="s">
        <v>34</v>
      </c>
      <c r="D51" s="91" t="s">
        <v>46</v>
      </c>
      <c r="E51" s="91" t="s">
        <v>44</v>
      </c>
      <c r="F51" s="91" t="s">
        <v>45</v>
      </c>
      <c r="G51" s="48">
        <f t="shared" si="6"/>
        <v>0.33</v>
      </c>
      <c r="H51" s="48">
        <f t="shared" si="3"/>
        <v>1</v>
      </c>
      <c r="I51" s="48">
        <f t="shared" si="4"/>
        <v>0.66</v>
      </c>
      <c r="J51" s="2">
        <f t="shared" si="5"/>
        <v>13.275</v>
      </c>
    </row>
    <row r="52" spans="1:10" ht="30" x14ac:dyDescent="0.25">
      <c r="A52" s="41" t="s">
        <v>12</v>
      </c>
      <c r="B52" s="41" t="s">
        <v>24</v>
      </c>
      <c r="C52" s="42" t="s">
        <v>35</v>
      </c>
      <c r="D52" s="91" t="s">
        <v>46</v>
      </c>
      <c r="E52" s="91" t="s">
        <v>44</v>
      </c>
      <c r="F52" s="91" t="s">
        <v>45</v>
      </c>
      <c r="G52" s="48">
        <f t="shared" si="6"/>
        <v>0.33</v>
      </c>
      <c r="H52" s="48">
        <f t="shared" si="3"/>
        <v>1</v>
      </c>
      <c r="I52" s="48">
        <f t="shared" si="4"/>
        <v>0.66</v>
      </c>
      <c r="J52" s="2">
        <f t="shared" si="5"/>
        <v>13.275</v>
      </c>
    </row>
    <row r="54" spans="1:10" x14ac:dyDescent="0.25">
      <c r="A54" s="39" t="s">
        <v>98</v>
      </c>
    </row>
    <row r="55" spans="1:10" x14ac:dyDescent="0.25">
      <c r="A55" s="45" t="s">
        <v>43</v>
      </c>
      <c r="B55" s="46" t="s">
        <v>55</v>
      </c>
      <c r="C55" s="46" t="s">
        <v>56</v>
      </c>
    </row>
    <row r="56" spans="1:10" x14ac:dyDescent="0.25">
      <c r="A56" s="41" t="s">
        <v>44</v>
      </c>
      <c r="B56" s="2">
        <v>1</v>
      </c>
      <c r="C56" s="2">
        <v>7.5</v>
      </c>
    </row>
    <row r="57" spans="1:10" x14ac:dyDescent="0.25">
      <c r="A57" s="41" t="s">
        <v>45</v>
      </c>
      <c r="B57" s="2">
        <v>0.66</v>
      </c>
      <c r="C57" s="2">
        <v>5</v>
      </c>
    </row>
    <row r="58" spans="1:10" x14ac:dyDescent="0.25">
      <c r="A58" s="41" t="s">
        <v>46</v>
      </c>
      <c r="B58" s="2">
        <v>0.33</v>
      </c>
      <c r="C58" s="2">
        <v>2.5</v>
      </c>
    </row>
    <row r="59" spans="1:10" x14ac:dyDescent="0.25">
      <c r="A59" s="41" t="s">
        <v>47</v>
      </c>
      <c r="B59" s="2">
        <v>0</v>
      </c>
      <c r="C59" s="2">
        <v>1</v>
      </c>
    </row>
    <row r="61" spans="1:10" x14ac:dyDescent="0.25">
      <c r="A61" s="39" t="s">
        <v>99</v>
      </c>
    </row>
    <row r="62" spans="1:10" ht="60.75" thickBot="1" x14ac:dyDescent="0.3">
      <c r="A62" s="45" t="s">
        <v>53</v>
      </c>
      <c r="B62" s="46" t="s">
        <v>39</v>
      </c>
      <c r="C62" s="45" t="s">
        <v>48</v>
      </c>
      <c r="D62" s="47" t="s">
        <v>104</v>
      </c>
    </row>
    <row r="63" spans="1:10" x14ac:dyDescent="0.25">
      <c r="A63" s="63" t="s">
        <v>50</v>
      </c>
      <c r="B63" s="43" t="s">
        <v>40</v>
      </c>
      <c r="C63" s="2" t="s">
        <v>44</v>
      </c>
      <c r="D63" s="85">
        <v>7.5</v>
      </c>
    </row>
    <row r="64" spans="1:10" x14ac:dyDescent="0.25">
      <c r="A64" s="64" t="s">
        <v>51</v>
      </c>
      <c r="B64" s="43" t="s">
        <v>41</v>
      </c>
      <c r="C64" s="2" t="s">
        <v>44</v>
      </c>
      <c r="D64" s="85">
        <v>7.5</v>
      </c>
    </row>
    <row r="65" spans="1:10" ht="15.75" thickBot="1" x14ac:dyDescent="0.3">
      <c r="A65" s="65" t="s">
        <v>52</v>
      </c>
      <c r="B65" s="43" t="s">
        <v>42</v>
      </c>
      <c r="C65" s="2" t="s">
        <v>45</v>
      </c>
      <c r="D65" s="85">
        <v>5</v>
      </c>
    </row>
    <row r="68" spans="1:10" ht="18.75" x14ac:dyDescent="0.3">
      <c r="A68" s="84" t="s">
        <v>93</v>
      </c>
      <c r="B68" s="38"/>
      <c r="C68" s="38"/>
    </row>
    <row r="69" spans="1:10" x14ac:dyDescent="0.25">
      <c r="A69" s="1" t="s">
        <v>49</v>
      </c>
      <c r="B69" s="38"/>
      <c r="C69" s="38"/>
    </row>
    <row r="70" spans="1:10" x14ac:dyDescent="0.25">
      <c r="A70" s="39" t="s">
        <v>100</v>
      </c>
      <c r="B70" s="38"/>
      <c r="C70" s="38"/>
    </row>
    <row r="71" spans="1:10" ht="90.75" customHeight="1" x14ac:dyDescent="0.25">
      <c r="A71" s="242" t="s">
        <v>26</v>
      </c>
      <c r="B71" s="242" t="s">
        <v>27</v>
      </c>
      <c r="C71" s="242" t="s">
        <v>28</v>
      </c>
      <c r="D71" s="242" t="s">
        <v>58</v>
      </c>
      <c r="E71" s="242"/>
      <c r="F71" s="242"/>
      <c r="G71" s="242" t="s">
        <v>59</v>
      </c>
      <c r="H71" s="242"/>
      <c r="I71" s="242"/>
      <c r="J71" s="242" t="s">
        <v>54</v>
      </c>
    </row>
    <row r="72" spans="1:10" x14ac:dyDescent="0.25">
      <c r="A72" s="242"/>
      <c r="B72" s="242"/>
      <c r="C72" s="242"/>
      <c r="D72" s="45" t="s">
        <v>50</v>
      </c>
      <c r="E72" s="45" t="s">
        <v>51</v>
      </c>
      <c r="F72" s="45" t="s">
        <v>52</v>
      </c>
      <c r="G72" s="45" t="s">
        <v>50</v>
      </c>
      <c r="H72" s="45" t="s">
        <v>51</v>
      </c>
      <c r="I72" s="45" t="s">
        <v>52</v>
      </c>
      <c r="J72" s="242"/>
    </row>
    <row r="73" spans="1:10" ht="30" x14ac:dyDescent="0.25">
      <c r="A73" s="41" t="s">
        <v>0</v>
      </c>
      <c r="B73" s="41" t="s">
        <v>25</v>
      </c>
      <c r="C73" s="42" t="s">
        <v>13</v>
      </c>
      <c r="D73" s="91" t="s">
        <v>46</v>
      </c>
      <c r="E73" s="91" t="s">
        <v>45</v>
      </c>
      <c r="F73" s="91" t="s">
        <v>44</v>
      </c>
      <c r="G73" s="48">
        <f>IF(D73=$A$26,$B$26,(IF(D73=$A$27,$B$27,IF(D73=$A$28,$B$28,$B$29))))</f>
        <v>0.33</v>
      </c>
      <c r="H73" s="48">
        <f t="shared" ref="H73:H82" si="7">IF(E73=$A$26,$B$26,(IF(E73=$A$27,$B$27,IF(E73=$A$28,$B$28,$B$29))))</f>
        <v>0.66</v>
      </c>
      <c r="I73" s="48">
        <f t="shared" ref="I73:I82" si="8">IF(F73=$A$26,$B$26,(IF(F73=$A$27,$B$27,IF(F73=$A$28,$B$28,$B$29))))</f>
        <v>1</v>
      </c>
      <c r="J73" s="2">
        <f>G73*$D$93+H73*$D$94+I73*$D$95</f>
        <v>11.625</v>
      </c>
    </row>
    <row r="74" spans="1:10" x14ac:dyDescent="0.25">
      <c r="A74" s="41" t="s">
        <v>1</v>
      </c>
      <c r="B74" s="41" t="s">
        <v>14</v>
      </c>
      <c r="C74" s="42" t="s">
        <v>29</v>
      </c>
      <c r="D74" s="91" t="s">
        <v>45</v>
      </c>
      <c r="E74" s="91" t="s">
        <v>46</v>
      </c>
      <c r="F74" s="91" t="s">
        <v>46</v>
      </c>
      <c r="G74" s="48">
        <f>IF(D74=$A$26,$B$26,(IF(D74=$A$27,$B$27,IF(D74=$A$28,$B$28,$B$29))))</f>
        <v>0.66</v>
      </c>
      <c r="H74" s="48">
        <f t="shared" si="7"/>
        <v>0.33</v>
      </c>
      <c r="I74" s="48">
        <f t="shared" si="8"/>
        <v>0.33</v>
      </c>
      <c r="J74" s="2">
        <f t="shared" ref="J74:J82" si="9">G74*$D$93+H74*$D$94+I74*$D$95</f>
        <v>5.7750000000000004</v>
      </c>
    </row>
    <row r="75" spans="1:10" x14ac:dyDescent="0.25">
      <c r="A75" s="41" t="s">
        <v>2</v>
      </c>
      <c r="B75" s="41" t="s">
        <v>15</v>
      </c>
      <c r="C75" s="42" t="s">
        <v>30</v>
      </c>
      <c r="D75" s="91" t="s">
        <v>45</v>
      </c>
      <c r="E75" s="91" t="s">
        <v>44</v>
      </c>
      <c r="F75" s="91" t="s">
        <v>45</v>
      </c>
      <c r="G75" s="48">
        <f t="shared" ref="G75:G79" si="10">IF(D75=$A$26,$B$26,(IF(D75=$A$27,$B$27,IF(D75=$A$28,$B$28,$B$29))))</f>
        <v>0.66</v>
      </c>
      <c r="H75" s="48">
        <f t="shared" si="7"/>
        <v>1</v>
      </c>
      <c r="I75" s="48">
        <f t="shared" si="8"/>
        <v>0.66</v>
      </c>
      <c r="J75" s="2">
        <f t="shared" si="9"/>
        <v>11.600000000000001</v>
      </c>
    </row>
    <row r="76" spans="1:10" x14ac:dyDescent="0.25">
      <c r="A76" s="41" t="s">
        <v>6</v>
      </c>
      <c r="B76" s="41" t="s">
        <v>16</v>
      </c>
      <c r="C76" s="42" t="s">
        <v>17</v>
      </c>
      <c r="D76" s="91" t="s">
        <v>44</v>
      </c>
      <c r="E76" s="91" t="s">
        <v>45</v>
      </c>
      <c r="F76" s="91" t="s">
        <v>46</v>
      </c>
      <c r="G76" s="48">
        <f t="shared" si="10"/>
        <v>1</v>
      </c>
      <c r="H76" s="48">
        <f t="shared" si="7"/>
        <v>0.66</v>
      </c>
      <c r="I76" s="48">
        <f t="shared" si="8"/>
        <v>0.33</v>
      </c>
      <c r="J76" s="2">
        <f t="shared" si="9"/>
        <v>8.2750000000000004</v>
      </c>
    </row>
    <row r="77" spans="1:10" ht="30" x14ac:dyDescent="0.25">
      <c r="A77" s="41" t="s">
        <v>7</v>
      </c>
      <c r="B77" s="41" t="s">
        <v>18</v>
      </c>
      <c r="C77" s="42" t="s">
        <v>31</v>
      </c>
      <c r="D77" s="91" t="s">
        <v>45</v>
      </c>
      <c r="E77" s="91" t="s">
        <v>44</v>
      </c>
      <c r="F77" s="91" t="s">
        <v>46</v>
      </c>
      <c r="G77" s="48">
        <f t="shared" si="10"/>
        <v>0.66</v>
      </c>
      <c r="H77" s="48">
        <f t="shared" si="7"/>
        <v>1</v>
      </c>
      <c r="I77" s="48">
        <f t="shared" si="8"/>
        <v>0.33</v>
      </c>
      <c r="J77" s="2">
        <f t="shared" si="9"/>
        <v>9.125</v>
      </c>
    </row>
    <row r="78" spans="1:10" x14ac:dyDescent="0.25">
      <c r="A78" s="41" t="s">
        <v>8</v>
      </c>
      <c r="B78" s="41" t="s">
        <v>19</v>
      </c>
      <c r="C78" s="42" t="s">
        <v>32</v>
      </c>
      <c r="D78" s="91" t="s">
        <v>46</v>
      </c>
      <c r="E78" s="91" t="s">
        <v>45</v>
      </c>
      <c r="F78" s="91" t="s">
        <v>46</v>
      </c>
      <c r="G78" s="48">
        <f t="shared" si="10"/>
        <v>0.33</v>
      </c>
      <c r="H78" s="48">
        <f t="shared" si="7"/>
        <v>0.66</v>
      </c>
      <c r="I78" s="48">
        <f t="shared" si="8"/>
        <v>0.33</v>
      </c>
      <c r="J78" s="2">
        <f t="shared" si="9"/>
        <v>6.6</v>
      </c>
    </row>
    <row r="79" spans="1:10" ht="30" x14ac:dyDescent="0.25">
      <c r="A79" s="41" t="s">
        <v>9</v>
      </c>
      <c r="B79" s="41" t="s">
        <v>20</v>
      </c>
      <c r="C79" s="42" t="s">
        <v>33</v>
      </c>
      <c r="D79" s="91" t="s">
        <v>44</v>
      </c>
      <c r="E79" s="91" t="s">
        <v>45</v>
      </c>
      <c r="F79" s="91" t="s">
        <v>46</v>
      </c>
      <c r="G79" s="48">
        <f t="shared" si="10"/>
        <v>1</v>
      </c>
      <c r="H79" s="48">
        <f t="shared" si="7"/>
        <v>0.66</v>
      </c>
      <c r="I79" s="48">
        <f t="shared" si="8"/>
        <v>0.33</v>
      </c>
      <c r="J79" s="2">
        <f t="shared" si="9"/>
        <v>8.2750000000000004</v>
      </c>
    </row>
    <row r="80" spans="1:10" ht="30" x14ac:dyDescent="0.25">
      <c r="A80" s="41" t="s">
        <v>10</v>
      </c>
      <c r="B80" s="41" t="s">
        <v>21</v>
      </c>
      <c r="C80" s="42" t="s">
        <v>22</v>
      </c>
      <c r="D80" s="91" t="s">
        <v>45</v>
      </c>
      <c r="E80" s="91" t="s">
        <v>46</v>
      </c>
      <c r="F80" s="91" t="s">
        <v>44</v>
      </c>
      <c r="G80" s="48">
        <f>IF(D80=$A$26,$B$26,(IF(D80=$A$27,$B$27,IF(D80=$A$28,$B$28,$B$29))))</f>
        <v>0.66</v>
      </c>
      <c r="H80" s="48">
        <f t="shared" si="7"/>
        <v>0.33</v>
      </c>
      <c r="I80" s="48">
        <f t="shared" si="8"/>
        <v>1</v>
      </c>
      <c r="J80" s="2">
        <f t="shared" si="9"/>
        <v>10.8</v>
      </c>
    </row>
    <row r="81" spans="1:10" ht="30" x14ac:dyDescent="0.25">
      <c r="A81" s="41" t="s">
        <v>11</v>
      </c>
      <c r="B81" s="41" t="s">
        <v>23</v>
      </c>
      <c r="C81" s="42" t="s">
        <v>34</v>
      </c>
      <c r="D81" s="91" t="s">
        <v>45</v>
      </c>
      <c r="E81" s="91" t="s">
        <v>44</v>
      </c>
      <c r="F81" s="91" t="s">
        <v>46</v>
      </c>
      <c r="G81" s="48">
        <f t="shared" ref="G81:G82" si="11">IF(D81=$A$26,$B$26,(IF(D81=$A$27,$B$27,IF(D81=$A$28,$B$28,$B$29))))</f>
        <v>0.66</v>
      </c>
      <c r="H81" s="48">
        <f t="shared" si="7"/>
        <v>1</v>
      </c>
      <c r="I81" s="48">
        <f t="shared" si="8"/>
        <v>0.33</v>
      </c>
      <c r="J81" s="2">
        <f t="shared" si="9"/>
        <v>9.125</v>
      </c>
    </row>
    <row r="82" spans="1:10" ht="30" x14ac:dyDescent="0.25">
      <c r="A82" s="41" t="s">
        <v>12</v>
      </c>
      <c r="B82" s="41" t="s">
        <v>24</v>
      </c>
      <c r="C82" s="42" t="s">
        <v>35</v>
      </c>
      <c r="D82" s="91" t="s">
        <v>46</v>
      </c>
      <c r="E82" s="91" t="s">
        <v>44</v>
      </c>
      <c r="F82" s="91" t="s">
        <v>45</v>
      </c>
      <c r="G82" s="48">
        <f t="shared" si="11"/>
        <v>0.33</v>
      </c>
      <c r="H82" s="48">
        <f t="shared" si="7"/>
        <v>1</v>
      </c>
      <c r="I82" s="48">
        <f t="shared" si="8"/>
        <v>0.66</v>
      </c>
      <c r="J82" s="2">
        <f t="shared" si="9"/>
        <v>10.775</v>
      </c>
    </row>
    <row r="84" spans="1:10" x14ac:dyDescent="0.25">
      <c r="A84" s="39" t="s">
        <v>101</v>
      </c>
    </row>
    <row r="85" spans="1:10" x14ac:dyDescent="0.25">
      <c r="A85" s="45" t="s">
        <v>43</v>
      </c>
      <c r="B85" s="46" t="s">
        <v>55</v>
      </c>
      <c r="C85" s="46" t="s">
        <v>56</v>
      </c>
    </row>
    <row r="86" spans="1:10" x14ac:dyDescent="0.25">
      <c r="A86" s="41" t="s">
        <v>44</v>
      </c>
      <c r="B86" s="2">
        <v>1</v>
      </c>
      <c r="C86" s="2">
        <v>7.5</v>
      </c>
    </row>
    <row r="87" spans="1:10" x14ac:dyDescent="0.25">
      <c r="A87" s="41" t="s">
        <v>45</v>
      </c>
      <c r="B87" s="2">
        <v>0.66</v>
      </c>
      <c r="C87" s="2">
        <v>5</v>
      </c>
    </row>
    <row r="88" spans="1:10" x14ac:dyDescent="0.25">
      <c r="A88" s="41" t="s">
        <v>46</v>
      </c>
      <c r="B88" s="2">
        <v>0.33</v>
      </c>
      <c r="C88" s="2">
        <v>2.5</v>
      </c>
    </row>
    <row r="89" spans="1:10" x14ac:dyDescent="0.25">
      <c r="A89" s="41" t="s">
        <v>47</v>
      </c>
      <c r="B89" s="2">
        <v>0</v>
      </c>
      <c r="C89" s="2">
        <v>1</v>
      </c>
    </row>
    <row r="91" spans="1:10" x14ac:dyDescent="0.25">
      <c r="A91" s="39" t="s">
        <v>102</v>
      </c>
    </row>
    <row r="92" spans="1:10" ht="60.75" thickBot="1" x14ac:dyDescent="0.3">
      <c r="A92" s="45" t="s">
        <v>53</v>
      </c>
      <c r="B92" s="46" t="s">
        <v>39</v>
      </c>
      <c r="C92" s="45" t="s">
        <v>48</v>
      </c>
      <c r="D92" s="47" t="s">
        <v>103</v>
      </c>
    </row>
    <row r="93" spans="1:10" x14ac:dyDescent="0.25">
      <c r="A93" s="63" t="s">
        <v>50</v>
      </c>
      <c r="B93" s="43" t="s">
        <v>40</v>
      </c>
      <c r="C93" s="2" t="s">
        <v>46</v>
      </c>
      <c r="D93" s="85">
        <f>C88</f>
        <v>2.5</v>
      </c>
    </row>
    <row r="94" spans="1:10" x14ac:dyDescent="0.25">
      <c r="A94" s="64" t="s">
        <v>51</v>
      </c>
      <c r="B94" s="43" t="s">
        <v>41</v>
      </c>
      <c r="C94" s="2" t="s">
        <v>45</v>
      </c>
      <c r="D94" s="85">
        <f>C87</f>
        <v>5</v>
      </c>
    </row>
    <row r="95" spans="1:10" ht="15.75" thickBot="1" x14ac:dyDescent="0.3">
      <c r="A95" s="65" t="s">
        <v>52</v>
      </c>
      <c r="B95" s="43" t="s">
        <v>42</v>
      </c>
      <c r="C95" s="2" t="s">
        <v>44</v>
      </c>
      <c r="D95" s="85">
        <f>C86</f>
        <v>7.5</v>
      </c>
    </row>
    <row r="98" spans="1:6" x14ac:dyDescent="0.25">
      <c r="A98" s="1" t="s">
        <v>111</v>
      </c>
    </row>
    <row r="99" spans="1:6" s="36" customFormat="1" ht="30" x14ac:dyDescent="0.25">
      <c r="A99" s="86" t="s">
        <v>106</v>
      </c>
      <c r="B99" s="86" t="s">
        <v>109</v>
      </c>
      <c r="C99" s="86" t="s">
        <v>110</v>
      </c>
    </row>
    <row r="100" spans="1:6" x14ac:dyDescent="0.25">
      <c r="A100" s="2" t="s">
        <v>107</v>
      </c>
      <c r="B100" s="2">
        <v>0.5</v>
      </c>
      <c r="C100" s="2">
        <v>0.3</v>
      </c>
    </row>
    <row r="101" spans="1:6" x14ac:dyDescent="0.25">
      <c r="A101" s="2" t="s">
        <v>108</v>
      </c>
      <c r="B101" s="2">
        <v>0.5</v>
      </c>
      <c r="C101" s="2">
        <v>0.3</v>
      </c>
    </row>
    <row r="102" spans="1:6" x14ac:dyDescent="0.25">
      <c r="A102" s="2" t="s">
        <v>134</v>
      </c>
      <c r="B102" s="2"/>
      <c r="C102" s="2">
        <v>0.4</v>
      </c>
    </row>
    <row r="104" spans="1:6" x14ac:dyDescent="0.25">
      <c r="A104" s="1" t="s">
        <v>112</v>
      </c>
    </row>
    <row r="105" spans="1:6" s="36" customFormat="1" ht="75" customHeight="1" x14ac:dyDescent="0.25">
      <c r="A105" s="86" t="s">
        <v>113</v>
      </c>
      <c r="B105" s="86" t="s">
        <v>114</v>
      </c>
      <c r="C105" s="86" t="s">
        <v>115</v>
      </c>
      <c r="D105" s="86" t="s">
        <v>116</v>
      </c>
      <c r="E105" s="86" t="s">
        <v>257</v>
      </c>
      <c r="F105" s="86" t="s">
        <v>253</v>
      </c>
    </row>
    <row r="106" spans="1:6" x14ac:dyDescent="0.25">
      <c r="A106" s="41" t="s">
        <v>25</v>
      </c>
      <c r="B106" s="2">
        <f>J13</f>
        <v>14.15</v>
      </c>
      <c r="C106" s="2">
        <f>J43</f>
        <v>12.425000000000001</v>
      </c>
      <c r="D106" s="2">
        <f>J73</f>
        <v>11.625</v>
      </c>
      <c r="E106" s="2">
        <f>B106*B$100+C106*B$101</f>
        <v>13.287500000000001</v>
      </c>
      <c r="F106" s="2">
        <f>B106*C$100+C106*C$101+D106*C$102</f>
        <v>12.6225</v>
      </c>
    </row>
    <row r="107" spans="1:6" x14ac:dyDescent="0.25">
      <c r="A107" s="41" t="s">
        <v>14</v>
      </c>
      <c r="B107" s="2">
        <f t="shared" ref="B107:B115" si="12">J14</f>
        <v>6.6000000000000005</v>
      </c>
      <c r="C107" s="2">
        <f t="shared" ref="C107:C115" si="13">J44</f>
        <v>8.25</v>
      </c>
      <c r="D107" s="2">
        <f t="shared" ref="D107:D115" si="14">J74</f>
        <v>5.7750000000000004</v>
      </c>
      <c r="E107" s="2">
        <f t="shared" ref="E107:E114" si="15">B107*B$100+C107*B$101</f>
        <v>7.4250000000000007</v>
      </c>
      <c r="F107" s="2">
        <f t="shared" ref="F107:F114" si="16">B107*C$100+C107*C$101+D107*C$102</f>
        <v>6.7650000000000006</v>
      </c>
    </row>
    <row r="108" spans="1:6" x14ac:dyDescent="0.25">
      <c r="A108" s="41" t="s">
        <v>15</v>
      </c>
      <c r="B108" s="2">
        <f t="shared" si="12"/>
        <v>9.9</v>
      </c>
      <c r="C108" s="2">
        <f t="shared" si="13"/>
        <v>15.75</v>
      </c>
      <c r="D108" s="2">
        <f t="shared" si="14"/>
        <v>11.600000000000001</v>
      </c>
      <c r="E108" s="2">
        <f t="shared" si="15"/>
        <v>12.824999999999999</v>
      </c>
      <c r="F108" s="2">
        <f t="shared" si="16"/>
        <v>12.335000000000001</v>
      </c>
    </row>
    <row r="109" spans="1:6" x14ac:dyDescent="0.25">
      <c r="A109" s="41" t="s">
        <v>16</v>
      </c>
      <c r="B109" s="2">
        <f t="shared" si="12"/>
        <v>12.450000000000001</v>
      </c>
      <c r="C109" s="2">
        <f t="shared" si="13"/>
        <v>14.1</v>
      </c>
      <c r="D109" s="2">
        <f t="shared" si="14"/>
        <v>8.2750000000000004</v>
      </c>
      <c r="E109" s="2">
        <f t="shared" si="15"/>
        <v>13.275</v>
      </c>
      <c r="F109" s="2">
        <f t="shared" si="16"/>
        <v>11.275</v>
      </c>
    </row>
    <row r="110" spans="1:6" x14ac:dyDescent="0.25">
      <c r="A110" s="41" t="s">
        <v>18</v>
      </c>
      <c r="B110" s="2">
        <f t="shared" si="12"/>
        <v>10.75</v>
      </c>
      <c r="C110" s="2">
        <f t="shared" si="13"/>
        <v>15.75</v>
      </c>
      <c r="D110" s="2">
        <f t="shared" si="14"/>
        <v>9.125</v>
      </c>
      <c r="E110" s="2">
        <f t="shared" si="15"/>
        <v>13.25</v>
      </c>
      <c r="F110" s="2">
        <f t="shared" si="16"/>
        <v>11.6</v>
      </c>
    </row>
    <row r="111" spans="1:6" x14ac:dyDescent="0.25">
      <c r="A111" s="41" t="s">
        <v>19</v>
      </c>
      <c r="B111" s="2">
        <f t="shared" si="12"/>
        <v>10.8</v>
      </c>
      <c r="C111" s="2">
        <f t="shared" si="13"/>
        <v>14.1</v>
      </c>
      <c r="D111" s="2">
        <f t="shared" si="14"/>
        <v>6.6</v>
      </c>
      <c r="E111" s="2">
        <f t="shared" si="15"/>
        <v>12.45</v>
      </c>
      <c r="F111" s="2">
        <f t="shared" si="16"/>
        <v>10.11</v>
      </c>
    </row>
    <row r="112" spans="1:6" x14ac:dyDescent="0.25">
      <c r="A112" s="41" t="s">
        <v>20</v>
      </c>
      <c r="B112" s="2">
        <f t="shared" si="12"/>
        <v>10.8</v>
      </c>
      <c r="C112" s="2">
        <f t="shared" si="13"/>
        <v>14.1</v>
      </c>
      <c r="D112" s="2">
        <f t="shared" si="14"/>
        <v>8.2750000000000004</v>
      </c>
      <c r="E112" s="2">
        <f t="shared" si="15"/>
        <v>12.45</v>
      </c>
      <c r="F112" s="2">
        <f t="shared" si="16"/>
        <v>10.780000000000001</v>
      </c>
    </row>
    <row r="113" spans="1:6" x14ac:dyDescent="0.25">
      <c r="A113" s="41" t="s">
        <v>21</v>
      </c>
      <c r="B113" s="2">
        <f t="shared" si="12"/>
        <v>12.45</v>
      </c>
      <c r="C113" s="2">
        <f t="shared" si="13"/>
        <v>12.425000000000001</v>
      </c>
      <c r="D113" s="2">
        <f t="shared" si="14"/>
        <v>10.8</v>
      </c>
      <c r="E113" s="2">
        <f t="shared" si="15"/>
        <v>12.4375</v>
      </c>
      <c r="F113" s="2">
        <f t="shared" si="16"/>
        <v>11.782499999999999</v>
      </c>
    </row>
    <row r="114" spans="1:6" x14ac:dyDescent="0.25">
      <c r="A114" s="41" t="s">
        <v>23</v>
      </c>
      <c r="B114" s="2">
        <f t="shared" si="12"/>
        <v>10.75</v>
      </c>
      <c r="C114" s="2">
        <f t="shared" si="13"/>
        <v>13.275</v>
      </c>
      <c r="D114" s="2">
        <f t="shared" si="14"/>
        <v>9.125</v>
      </c>
      <c r="E114" s="2">
        <f t="shared" si="15"/>
        <v>12.012499999999999</v>
      </c>
      <c r="F114" s="2">
        <f t="shared" si="16"/>
        <v>10.8575</v>
      </c>
    </row>
    <row r="115" spans="1:6" x14ac:dyDescent="0.25">
      <c r="A115" s="41" t="s">
        <v>24</v>
      </c>
      <c r="B115" s="2">
        <f t="shared" si="12"/>
        <v>8.2750000000000004</v>
      </c>
      <c r="C115" s="2">
        <f t="shared" si="13"/>
        <v>13.275</v>
      </c>
      <c r="D115" s="2">
        <f t="shared" si="14"/>
        <v>10.775</v>
      </c>
      <c r="E115" s="2">
        <f>B115*B$100+C115*B$101</f>
        <v>10.775</v>
      </c>
      <c r="F115" s="2">
        <f>B115*C$100+C115*C$101+D115*C$102</f>
        <v>10.775</v>
      </c>
    </row>
    <row r="117" spans="1:6" ht="15.75" thickBot="1" x14ac:dyDescent="0.3">
      <c r="A117" s="1" t="s">
        <v>168</v>
      </c>
    </row>
    <row r="118" spans="1:6" ht="30.75" thickBot="1" x14ac:dyDescent="0.3">
      <c r="A118" s="208" t="s">
        <v>113</v>
      </c>
      <c r="B118" s="209" t="s">
        <v>253</v>
      </c>
    </row>
    <row r="119" spans="1:6" x14ac:dyDescent="0.25">
      <c r="A119" s="106" t="s">
        <v>25</v>
      </c>
      <c r="B119" s="107">
        <v>12.6225</v>
      </c>
    </row>
    <row r="120" spans="1:6" x14ac:dyDescent="0.25">
      <c r="A120" s="4" t="s">
        <v>15</v>
      </c>
      <c r="B120" s="5">
        <v>12.335000000000001</v>
      </c>
    </row>
    <row r="121" spans="1:6" x14ac:dyDescent="0.25">
      <c r="A121" s="4" t="s">
        <v>21</v>
      </c>
      <c r="B121" s="5">
        <v>11.782499999999999</v>
      </c>
    </row>
    <row r="122" spans="1:6" x14ac:dyDescent="0.25">
      <c r="A122" s="4" t="s">
        <v>18</v>
      </c>
      <c r="B122" s="5">
        <v>11.6</v>
      </c>
    </row>
    <row r="123" spans="1:6" x14ac:dyDescent="0.25">
      <c r="A123" s="4" t="s">
        <v>16</v>
      </c>
      <c r="B123" s="5">
        <v>11.275</v>
      </c>
    </row>
    <row r="124" spans="1:6" x14ac:dyDescent="0.25">
      <c r="A124" s="4" t="s">
        <v>23</v>
      </c>
      <c r="B124" s="5">
        <v>10.8575</v>
      </c>
    </row>
    <row r="125" spans="1:6" x14ac:dyDescent="0.25">
      <c r="A125" s="4" t="s">
        <v>20</v>
      </c>
      <c r="B125" s="5">
        <v>10.780000000000001</v>
      </c>
    </row>
    <row r="126" spans="1:6" x14ac:dyDescent="0.25">
      <c r="A126" s="4" t="s">
        <v>24</v>
      </c>
      <c r="B126" s="5">
        <v>10.775</v>
      </c>
    </row>
    <row r="127" spans="1:6" x14ac:dyDescent="0.25">
      <c r="A127" s="4" t="s">
        <v>19</v>
      </c>
      <c r="B127" s="5">
        <v>10.11</v>
      </c>
    </row>
    <row r="128" spans="1:6" ht="15.75" thickBot="1" x14ac:dyDescent="0.3">
      <c r="A128" s="95" t="s">
        <v>14</v>
      </c>
      <c r="B128" s="62">
        <v>6.7650000000000006</v>
      </c>
    </row>
  </sheetData>
  <sortState xmlns:xlrd2="http://schemas.microsoft.com/office/spreadsheetml/2017/richdata2" ref="A119:J128">
    <sortCondition descending="1" ref="B119:B128"/>
  </sortState>
  <mergeCells count="19">
    <mergeCell ref="A5:E5"/>
    <mergeCell ref="A11:A12"/>
    <mergeCell ref="B11:B12"/>
    <mergeCell ref="C11:C12"/>
    <mergeCell ref="D11:F11"/>
    <mergeCell ref="J71:J72"/>
    <mergeCell ref="J11:J12"/>
    <mergeCell ref="A41:A42"/>
    <mergeCell ref="B41:B42"/>
    <mergeCell ref="C41:C42"/>
    <mergeCell ref="D41:F41"/>
    <mergeCell ref="G41:I41"/>
    <mergeCell ref="J41:J42"/>
    <mergeCell ref="G11:I11"/>
    <mergeCell ref="A71:A72"/>
    <mergeCell ref="B71:B72"/>
    <mergeCell ref="C71:C72"/>
    <mergeCell ref="D71:F71"/>
    <mergeCell ref="G71:I71"/>
  </mergeCells>
  <phoneticPr fontId="6" type="noConversion"/>
  <hyperlinks>
    <hyperlink ref="B4" r:id="rId1" xr:uid="{D8BFB5FC-2D88-4545-BCAA-4D64975CF17F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5"/>
  <sheetViews>
    <sheetView zoomScaleNormal="100" workbookViewId="0">
      <selection activeCell="C206" sqref="C206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ht="18.75" x14ac:dyDescent="0.3">
      <c r="A1" s="204" t="s">
        <v>245</v>
      </c>
      <c r="B1" s="203"/>
      <c r="C1" s="203"/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46" t="s">
        <v>221</v>
      </c>
      <c r="B5" s="247"/>
      <c r="C5" s="247"/>
      <c r="D5" s="248"/>
      <c r="E5" s="248"/>
    </row>
    <row r="6" spans="1:10" ht="31.5" x14ac:dyDescent="0.25">
      <c r="A6" s="146" t="s">
        <v>181</v>
      </c>
      <c r="B6" s="40" t="s">
        <v>182</v>
      </c>
      <c r="C6" s="38"/>
    </row>
    <row r="7" spans="1:10" x14ac:dyDescent="0.25">
      <c r="A7" s="246" t="s">
        <v>223</v>
      </c>
      <c r="B7" s="247"/>
      <c r="C7" s="247"/>
      <c r="D7" s="248"/>
      <c r="E7" s="24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42" t="s">
        <v>26</v>
      </c>
      <c r="B12" s="242" t="s">
        <v>27</v>
      </c>
      <c r="C12" s="242" t="s">
        <v>28</v>
      </c>
      <c r="D12" s="242" t="s">
        <v>58</v>
      </c>
      <c r="E12" s="242"/>
      <c r="F12" s="242"/>
      <c r="G12" s="242" t="s">
        <v>59</v>
      </c>
      <c r="H12" s="242"/>
      <c r="I12" s="242"/>
      <c r="J12" s="242" t="s">
        <v>54</v>
      </c>
    </row>
    <row r="13" spans="1:10" s="36" customFormat="1" ht="18" customHeight="1" x14ac:dyDescent="0.25">
      <c r="A13" s="242"/>
      <c r="B13" s="242"/>
      <c r="C13" s="242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2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60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42" t="s">
        <v>26</v>
      </c>
      <c r="B42" s="242" t="s">
        <v>27</v>
      </c>
      <c r="C42" s="242" t="s">
        <v>28</v>
      </c>
      <c r="D42" s="242" t="s">
        <v>58</v>
      </c>
      <c r="E42" s="242"/>
      <c r="F42" s="242"/>
      <c r="G42" s="242" t="s">
        <v>59</v>
      </c>
      <c r="H42" s="242"/>
      <c r="I42" s="242"/>
      <c r="J42" s="242" t="s">
        <v>54</v>
      </c>
    </row>
    <row r="43" spans="1:10" s="36" customFormat="1" ht="18" customHeight="1" x14ac:dyDescent="0.25">
      <c r="A43" s="242"/>
      <c r="B43" s="242"/>
      <c r="C43" s="242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42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60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42" t="s">
        <v>26</v>
      </c>
      <c r="B72" s="242" t="s">
        <v>27</v>
      </c>
      <c r="C72" s="242" t="s">
        <v>28</v>
      </c>
      <c r="D72" s="242" t="s">
        <v>58</v>
      </c>
      <c r="E72" s="242"/>
      <c r="F72" s="242"/>
      <c r="G72" s="242" t="s">
        <v>59</v>
      </c>
      <c r="H72" s="242"/>
      <c r="I72" s="242"/>
      <c r="J72" s="242" t="s">
        <v>54</v>
      </c>
    </row>
    <row r="73" spans="1:10" x14ac:dyDescent="0.25">
      <c r="A73" s="242"/>
      <c r="B73" s="242"/>
      <c r="C73" s="242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42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60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9" spans="1:6" x14ac:dyDescent="0.25">
      <c r="A99" s="1" t="s">
        <v>111</v>
      </c>
    </row>
    <row r="100" spans="1:6" s="36" customFormat="1" ht="90" x14ac:dyDescent="0.25">
      <c r="A100" s="86" t="s">
        <v>106</v>
      </c>
      <c r="B100" s="86" t="s">
        <v>151</v>
      </c>
      <c r="C100" s="86" t="s">
        <v>153</v>
      </c>
      <c r="D100" s="86" t="s">
        <v>154</v>
      </c>
      <c r="E100" s="86" t="s">
        <v>153</v>
      </c>
    </row>
    <row r="101" spans="1:6" x14ac:dyDescent="0.25">
      <c r="A101" s="2" t="s">
        <v>107</v>
      </c>
      <c r="B101" s="2">
        <v>1</v>
      </c>
      <c r="C101" s="2">
        <f>B101/B$104</f>
        <v>0.5</v>
      </c>
      <c r="D101" s="2">
        <v>0.75</v>
      </c>
      <c r="E101" s="2">
        <f t="shared" ref="E101:E103" si="10">D101/D$104</f>
        <v>0.3</v>
      </c>
    </row>
    <row r="102" spans="1:6" x14ac:dyDescent="0.25">
      <c r="A102" s="2" t="s">
        <v>108</v>
      </c>
      <c r="B102" s="2">
        <v>1</v>
      </c>
      <c r="C102" s="2">
        <f>B102/B$104</f>
        <v>0.5</v>
      </c>
      <c r="D102" s="2">
        <v>0.75</v>
      </c>
      <c r="E102" s="2">
        <f t="shared" si="10"/>
        <v>0.3</v>
      </c>
    </row>
    <row r="103" spans="1:6" x14ac:dyDescent="0.25">
      <c r="A103" s="2" t="s">
        <v>134</v>
      </c>
      <c r="B103" s="2"/>
      <c r="C103" s="2"/>
      <c r="D103" s="2">
        <v>1</v>
      </c>
      <c r="E103" s="2">
        <f t="shared" si="10"/>
        <v>0.4</v>
      </c>
    </row>
    <row r="104" spans="1:6" x14ac:dyDescent="0.25">
      <c r="A104" s="3" t="s">
        <v>152</v>
      </c>
      <c r="B104" s="3">
        <f>SUM(B101:B103)</f>
        <v>2</v>
      </c>
      <c r="C104" s="3">
        <f t="shared" ref="C104:E104" si="11">SUM(C101:C103)</f>
        <v>1</v>
      </c>
      <c r="D104" s="3">
        <f t="shared" si="11"/>
        <v>2.5</v>
      </c>
      <c r="E104" s="3">
        <f t="shared" si="11"/>
        <v>1</v>
      </c>
    </row>
    <row r="105" spans="1:6" x14ac:dyDescent="0.25">
      <c r="A105" s="1"/>
      <c r="B105" s="1"/>
      <c r="C105" s="1"/>
      <c r="D105" s="1"/>
      <c r="E105" s="1"/>
    </row>
    <row r="106" spans="1:6" x14ac:dyDescent="0.25">
      <c r="A106" s="3" t="s">
        <v>160</v>
      </c>
      <c r="B106" s="3">
        <v>0.4</v>
      </c>
      <c r="C106" s="1"/>
      <c r="D106" s="1"/>
      <c r="E106" s="1"/>
    </row>
    <row r="108" spans="1:6" x14ac:dyDescent="0.25">
      <c r="A108" s="127" t="s">
        <v>155</v>
      </c>
    </row>
    <row r="109" spans="1:6" x14ac:dyDescent="0.25">
      <c r="A109" s="122" t="s">
        <v>25</v>
      </c>
      <c r="B109" s="124">
        <f>B190/B190</f>
        <v>1</v>
      </c>
      <c r="C109" s="124">
        <f>C190/B190</f>
        <v>0.87809187279151946</v>
      </c>
      <c r="D109" s="124">
        <f>D190/B190</f>
        <v>0.82155477031802115</v>
      </c>
      <c r="F109" s="122"/>
    </row>
    <row r="110" spans="1:6" x14ac:dyDescent="0.25">
      <c r="B110" s="124">
        <f>C190/B190</f>
        <v>0.87809187279151946</v>
      </c>
      <c r="C110" s="124">
        <f>C190/C190</f>
        <v>1</v>
      </c>
      <c r="D110" s="124">
        <f>D190/C190</f>
        <v>0.93561368209255524</v>
      </c>
    </row>
    <row r="111" spans="1:6" x14ac:dyDescent="0.25">
      <c r="B111" s="124">
        <f>D190/B190</f>
        <v>0.82155477031802115</v>
      </c>
      <c r="C111" s="124">
        <f>D190/C190</f>
        <v>0.93561368209255524</v>
      </c>
      <c r="D111" s="124">
        <f>D190/D190</f>
        <v>1</v>
      </c>
    </row>
    <row r="113" spans="1:6" x14ac:dyDescent="0.25">
      <c r="A113" s="122" t="s">
        <v>14</v>
      </c>
      <c r="B113" s="2">
        <f>B191/B191</f>
        <v>1</v>
      </c>
      <c r="C113" s="2">
        <f>B191/C191</f>
        <v>0.8</v>
      </c>
      <c r="D113" s="2">
        <f>D191/B191</f>
        <v>0.875</v>
      </c>
      <c r="F113" s="122"/>
    </row>
    <row r="114" spans="1:6" x14ac:dyDescent="0.25">
      <c r="B114" s="2">
        <f>B191/C191</f>
        <v>0.8</v>
      </c>
      <c r="C114" s="2">
        <f>C191/C191</f>
        <v>1</v>
      </c>
      <c r="D114" s="2">
        <f>D191/C191</f>
        <v>0.70000000000000007</v>
      </c>
    </row>
    <row r="115" spans="1:6" x14ac:dyDescent="0.25">
      <c r="B115" s="2">
        <f>D191/B191</f>
        <v>0.875</v>
      </c>
      <c r="C115" s="2">
        <f>D191/C191</f>
        <v>0.70000000000000007</v>
      </c>
      <c r="D115" s="2">
        <f>D191/D191</f>
        <v>1</v>
      </c>
    </row>
    <row r="117" spans="1:6" x14ac:dyDescent="0.25">
      <c r="A117" s="122" t="s">
        <v>15</v>
      </c>
      <c r="B117" s="124">
        <f>B192/B192</f>
        <v>1</v>
      </c>
      <c r="C117" s="124">
        <f>B192/C192</f>
        <v>0.62857142857142856</v>
      </c>
      <c r="D117" s="124">
        <f>B192/D192</f>
        <v>0.85344827586206884</v>
      </c>
      <c r="F117" s="122"/>
    </row>
    <row r="118" spans="1:6" x14ac:dyDescent="0.25">
      <c r="B118" s="124">
        <f>B192/C192</f>
        <v>0.62857142857142856</v>
      </c>
      <c r="C118" s="124">
        <f>C192/C192</f>
        <v>1</v>
      </c>
      <c r="D118" s="124">
        <f>D192/C192</f>
        <v>0.73650793650793656</v>
      </c>
    </row>
    <row r="119" spans="1:6" x14ac:dyDescent="0.25">
      <c r="B119" s="124">
        <f>B192/D192</f>
        <v>0.85344827586206884</v>
      </c>
      <c r="C119" s="124">
        <f>D192/C192</f>
        <v>0.73650793650793656</v>
      </c>
      <c r="D119" s="124">
        <f>D192/D192</f>
        <v>1</v>
      </c>
    </row>
    <row r="121" spans="1:6" x14ac:dyDescent="0.25">
      <c r="A121" s="122" t="s">
        <v>16</v>
      </c>
      <c r="B121" s="124">
        <f>B193/B193</f>
        <v>1</v>
      </c>
      <c r="C121" s="124">
        <f>B193/C193</f>
        <v>0.88297872340425543</v>
      </c>
      <c r="D121" s="124">
        <f>D193/B193</f>
        <v>0.66465863453815255</v>
      </c>
      <c r="F121" s="122"/>
    </row>
    <row r="122" spans="1:6" x14ac:dyDescent="0.25">
      <c r="B122" s="124">
        <f>B193/C193</f>
        <v>0.88297872340425543</v>
      </c>
      <c r="C122" s="124">
        <f>C193/C193</f>
        <v>1</v>
      </c>
      <c r="D122" s="124">
        <f>D193/C193</f>
        <v>0.58687943262411346</v>
      </c>
    </row>
    <row r="123" spans="1:6" x14ac:dyDescent="0.25">
      <c r="B123" s="124">
        <f>D193/B193</f>
        <v>0.66465863453815255</v>
      </c>
      <c r="C123" s="124">
        <f>D193/C193</f>
        <v>0.58687943262411346</v>
      </c>
      <c r="D123" s="124">
        <f>D193/D193</f>
        <v>1</v>
      </c>
    </row>
    <row r="125" spans="1:6" x14ac:dyDescent="0.25">
      <c r="A125" s="122" t="s">
        <v>18</v>
      </c>
      <c r="B125" s="124">
        <f>B194/B194</f>
        <v>1</v>
      </c>
      <c r="C125" s="124">
        <f>B194/C194</f>
        <v>0.68253968253968256</v>
      </c>
      <c r="D125" s="124">
        <f>D194/B194</f>
        <v>0.84883720930232553</v>
      </c>
      <c r="F125" s="122"/>
    </row>
    <row r="126" spans="1:6" x14ac:dyDescent="0.25">
      <c r="B126" s="124">
        <f>B194/C194</f>
        <v>0.68253968253968256</v>
      </c>
      <c r="C126" s="124">
        <f>C194/C194</f>
        <v>1</v>
      </c>
      <c r="D126" s="124">
        <f>D194/C194</f>
        <v>0.57936507936507942</v>
      </c>
    </row>
    <row r="127" spans="1:6" x14ac:dyDescent="0.25">
      <c r="B127" s="124">
        <f>D194/B194</f>
        <v>0.84883720930232553</v>
      </c>
      <c r="C127" s="124">
        <f>D194/C194</f>
        <v>0.57936507936507942</v>
      </c>
      <c r="D127" s="124">
        <f>D194/D194</f>
        <v>1</v>
      </c>
    </row>
    <row r="129" spans="1:6" x14ac:dyDescent="0.25">
      <c r="A129" s="122" t="s">
        <v>19</v>
      </c>
      <c r="B129" s="124">
        <f>B195/B195</f>
        <v>1</v>
      </c>
      <c r="C129" s="124">
        <f>B195/C195</f>
        <v>0.76595744680851074</v>
      </c>
      <c r="D129" s="124">
        <f>D195/B195</f>
        <v>0.61111111111111105</v>
      </c>
      <c r="F129" s="122"/>
    </row>
    <row r="130" spans="1:6" x14ac:dyDescent="0.25">
      <c r="B130" s="124">
        <f>B195/C195</f>
        <v>0.76595744680851074</v>
      </c>
      <c r="C130" s="124">
        <f>C195/C195</f>
        <v>1</v>
      </c>
      <c r="D130" s="124">
        <f>D195/C195</f>
        <v>0.46808510638297873</v>
      </c>
    </row>
    <row r="131" spans="1:6" x14ac:dyDescent="0.25">
      <c r="B131" s="124">
        <f>D195/B195</f>
        <v>0.61111111111111105</v>
      </c>
      <c r="C131" s="124">
        <f>D195/C195</f>
        <v>0.46808510638297873</v>
      </c>
      <c r="D131" s="124">
        <f>D195/D195</f>
        <v>1</v>
      </c>
    </row>
    <row r="133" spans="1:6" x14ac:dyDescent="0.25">
      <c r="A133" s="122" t="s">
        <v>20</v>
      </c>
      <c r="B133" s="124">
        <f>B196/B196</f>
        <v>1</v>
      </c>
      <c r="C133" s="124">
        <f>B196/C196</f>
        <v>0.76595744680851074</v>
      </c>
      <c r="D133" s="124">
        <f>D196/B196</f>
        <v>0.76620370370370372</v>
      </c>
      <c r="F133" s="122"/>
    </row>
    <row r="134" spans="1:6" x14ac:dyDescent="0.25">
      <c r="B134" s="124">
        <f>B196/C196</f>
        <v>0.76595744680851074</v>
      </c>
      <c r="C134" s="124">
        <f>C196/C196</f>
        <v>1</v>
      </c>
      <c r="D134" s="124">
        <f>D196/C196</f>
        <v>0.58687943262411346</v>
      </c>
    </row>
    <row r="135" spans="1:6" x14ac:dyDescent="0.25">
      <c r="B135" s="124">
        <f>D196/B196</f>
        <v>0.76620370370370372</v>
      </c>
      <c r="C135" s="124">
        <f>D196/C196</f>
        <v>0.58687943262411346</v>
      </c>
      <c r="D135" s="124">
        <f>D196/D196</f>
        <v>1</v>
      </c>
    </row>
    <row r="137" spans="1:6" x14ac:dyDescent="0.25">
      <c r="A137" s="122" t="s">
        <v>21</v>
      </c>
      <c r="B137" s="124">
        <f>B197/B197</f>
        <v>1</v>
      </c>
      <c r="C137" s="124">
        <f>C197/B197</f>
        <v>0.99799196787148603</v>
      </c>
      <c r="D137" s="124">
        <f>D197/B197</f>
        <v>0.86746987951807242</v>
      </c>
      <c r="F137" s="122"/>
    </row>
    <row r="138" spans="1:6" x14ac:dyDescent="0.25">
      <c r="B138" s="124">
        <f>C197/B197</f>
        <v>0.99799196787148603</v>
      </c>
      <c r="C138" s="124">
        <f>C197/C197</f>
        <v>1</v>
      </c>
      <c r="D138" s="124">
        <f>D197/C197</f>
        <v>0.86921529175050305</v>
      </c>
    </row>
    <row r="139" spans="1:6" x14ac:dyDescent="0.25">
      <c r="B139" s="124">
        <f>D197/B197</f>
        <v>0.86746987951807242</v>
      </c>
      <c r="C139" s="124">
        <f>D197/C197</f>
        <v>0.86921529175050305</v>
      </c>
      <c r="D139" s="124">
        <f>D197/D197</f>
        <v>1</v>
      </c>
    </row>
    <row r="141" spans="1:6" x14ac:dyDescent="0.25">
      <c r="A141" s="122" t="s">
        <v>23</v>
      </c>
      <c r="B141" s="124">
        <f>B198/B198</f>
        <v>1</v>
      </c>
      <c r="C141" s="124">
        <f>B198/C198</f>
        <v>0.80979284369114879</v>
      </c>
      <c r="D141" s="124">
        <f>D198/B198</f>
        <v>0.84883720930232553</v>
      </c>
      <c r="F141" s="122"/>
    </row>
    <row r="142" spans="1:6" x14ac:dyDescent="0.25">
      <c r="B142" s="124">
        <f>B198/C198</f>
        <v>0.80979284369114879</v>
      </c>
      <c r="C142" s="124">
        <f>C198/C198</f>
        <v>1</v>
      </c>
      <c r="D142" s="124">
        <f>D198/C198</f>
        <v>0.68738229755178903</v>
      </c>
    </row>
    <row r="143" spans="1:6" x14ac:dyDescent="0.25">
      <c r="B143" s="124">
        <f>D198/B198</f>
        <v>0.84883720930232553</v>
      </c>
      <c r="C143" s="124">
        <f>D198/C198</f>
        <v>0.68738229755178903</v>
      </c>
      <c r="D143" s="124">
        <f>D198/D198</f>
        <v>1</v>
      </c>
    </row>
    <row r="145" spans="1:6" x14ac:dyDescent="0.25">
      <c r="A145" s="122" t="s">
        <v>24</v>
      </c>
      <c r="B145" s="124">
        <f>B199/B199</f>
        <v>1</v>
      </c>
      <c r="C145" s="124">
        <f>B199/C199</f>
        <v>0.62335216572504704</v>
      </c>
      <c r="D145" s="124">
        <f>B199/D199</f>
        <v>0.76798143851508116</v>
      </c>
      <c r="F145" s="122"/>
    </row>
    <row r="146" spans="1:6" x14ac:dyDescent="0.25">
      <c r="B146" s="124">
        <f>B199/C199</f>
        <v>0.62335216572504704</v>
      </c>
      <c r="C146" s="124">
        <f>C199/C199</f>
        <v>1</v>
      </c>
      <c r="D146" s="124">
        <f>D199/C199</f>
        <v>0.81167608286252357</v>
      </c>
    </row>
    <row r="147" spans="1:6" x14ac:dyDescent="0.25">
      <c r="B147" s="124">
        <f>B199/D199</f>
        <v>0.76798143851508116</v>
      </c>
      <c r="C147" s="124">
        <f>D199/C199</f>
        <v>0.81167608286252357</v>
      </c>
      <c r="D147" s="124">
        <f>D199/D199</f>
        <v>1</v>
      </c>
    </row>
    <row r="149" spans="1:6" x14ac:dyDescent="0.25">
      <c r="A149" s="1" t="s">
        <v>163</v>
      </c>
    </row>
    <row r="150" spans="1:6" x14ac:dyDescent="0.25">
      <c r="A150" s="86" t="s">
        <v>113</v>
      </c>
      <c r="B150" s="3" t="s">
        <v>107</v>
      </c>
      <c r="C150" s="3" t="s">
        <v>108</v>
      </c>
      <c r="D150" s="3" t="s">
        <v>134</v>
      </c>
    </row>
    <row r="151" spans="1:6" x14ac:dyDescent="0.25">
      <c r="A151" s="41" t="s">
        <v>25</v>
      </c>
      <c r="B151" s="123">
        <f>(C109+D109)/2</f>
        <v>0.84982332155477036</v>
      </c>
      <c r="C151" s="123">
        <f>(B110+D110)/2</f>
        <v>0.90685277744203741</v>
      </c>
      <c r="D151" s="123">
        <f>(B111+C111)/2</f>
        <v>0.8785842262052882</v>
      </c>
    </row>
    <row r="152" spans="1:6" x14ac:dyDescent="0.25">
      <c r="A152" s="41" t="s">
        <v>14</v>
      </c>
      <c r="B152" s="123">
        <f>(C113+D113)/2</f>
        <v>0.83750000000000002</v>
      </c>
      <c r="C152" s="123">
        <f>(B114+D114)/2</f>
        <v>0.75</v>
      </c>
      <c r="D152" s="123">
        <f>(B115+C115)/2</f>
        <v>0.78750000000000009</v>
      </c>
    </row>
    <row r="153" spans="1:6" x14ac:dyDescent="0.25">
      <c r="A153" s="41" t="s">
        <v>15</v>
      </c>
      <c r="B153" s="123">
        <f>(C117+D117)/2</f>
        <v>0.74100985221674875</v>
      </c>
      <c r="C153" s="123">
        <f>(B118+D118)/2</f>
        <v>0.68253968253968256</v>
      </c>
      <c r="D153" s="123">
        <f>(B119+C119)/2</f>
        <v>0.79497810618500275</v>
      </c>
    </row>
    <row r="154" spans="1:6" x14ac:dyDescent="0.25">
      <c r="A154" s="41" t="s">
        <v>16</v>
      </c>
      <c r="B154" s="123">
        <f>(C121+D121)/2</f>
        <v>0.77381867897120404</v>
      </c>
      <c r="C154" s="123">
        <f>(B122+D122)/2</f>
        <v>0.73492907801418439</v>
      </c>
      <c r="D154" s="123">
        <f>(B123+C123)/2</f>
        <v>0.62576903358113301</v>
      </c>
    </row>
    <row r="155" spans="1:6" x14ac:dyDescent="0.25">
      <c r="A155" s="41" t="s">
        <v>18</v>
      </c>
      <c r="B155" s="123">
        <f>(C125+D125)/2</f>
        <v>0.76568844592100405</v>
      </c>
      <c r="C155" s="123">
        <f>(B126+D126)/2</f>
        <v>0.63095238095238093</v>
      </c>
      <c r="D155" s="123">
        <f>(B127+C127)/2</f>
        <v>0.71410114433370242</v>
      </c>
    </row>
    <row r="156" spans="1:6" x14ac:dyDescent="0.25">
      <c r="A156" s="41" t="s">
        <v>19</v>
      </c>
      <c r="B156" s="123">
        <f>(C129+D129)/2</f>
        <v>0.6885342789598109</v>
      </c>
      <c r="C156" s="123">
        <f>(B130+D130)/2</f>
        <v>0.61702127659574479</v>
      </c>
      <c r="D156" s="123">
        <f>(B131+C131)/2</f>
        <v>0.53959810874704495</v>
      </c>
    </row>
    <row r="157" spans="1:6" x14ac:dyDescent="0.25">
      <c r="A157" s="41" t="s">
        <v>20</v>
      </c>
      <c r="B157" s="123">
        <f>(C133+D133)/2</f>
        <v>0.76608057525610729</v>
      </c>
      <c r="C157" s="123">
        <f>(B134+D134)/2</f>
        <v>0.6764184397163121</v>
      </c>
      <c r="D157" s="123">
        <f>(B135+C135)/2</f>
        <v>0.67654156816390865</v>
      </c>
    </row>
    <row r="158" spans="1:6" x14ac:dyDescent="0.25">
      <c r="A158" s="41" t="s">
        <v>21</v>
      </c>
      <c r="B158" s="123">
        <f>(C137+D137)/2</f>
        <v>0.93273092369477917</v>
      </c>
      <c r="C158" s="123">
        <f>(B138+D138)/2</f>
        <v>0.93360362981099454</v>
      </c>
      <c r="D158" s="123">
        <f>(B139+C139)/2</f>
        <v>0.86834258563428768</v>
      </c>
    </row>
    <row r="159" spans="1:6" x14ac:dyDescent="0.25">
      <c r="A159" s="41" t="s">
        <v>23</v>
      </c>
      <c r="B159" s="123">
        <f>(C141+D141)/2</f>
        <v>0.82931502649673716</v>
      </c>
      <c r="C159" s="123">
        <f>(B142+D142)/2</f>
        <v>0.74858757062146886</v>
      </c>
      <c r="D159" s="123">
        <f>(B143+C143)/2</f>
        <v>0.76810975342705734</v>
      </c>
    </row>
    <row r="160" spans="1:6" x14ac:dyDescent="0.25">
      <c r="A160" s="41" t="s">
        <v>24</v>
      </c>
      <c r="B160" s="123">
        <f>(C145+D145)/2</f>
        <v>0.69566680212006404</v>
      </c>
      <c r="C160" s="123">
        <f>(B146+D146)/2</f>
        <v>0.71751412429378525</v>
      </c>
      <c r="D160" s="123">
        <f>(B147+C147)/2</f>
        <v>0.78982876068880237</v>
      </c>
    </row>
    <row r="162" spans="1:5" x14ac:dyDescent="0.25">
      <c r="A162" s="1" t="s">
        <v>164</v>
      </c>
    </row>
    <row r="163" spans="1:5" x14ac:dyDescent="0.25">
      <c r="A163" s="86" t="s">
        <v>113</v>
      </c>
      <c r="B163" s="3" t="s">
        <v>107</v>
      </c>
      <c r="C163" s="3" t="s">
        <v>108</v>
      </c>
      <c r="D163" s="3" t="s">
        <v>134</v>
      </c>
      <c r="E163" s="126" t="s">
        <v>159</v>
      </c>
    </row>
    <row r="164" spans="1:5" x14ac:dyDescent="0.25">
      <c r="A164" s="41" t="s">
        <v>25</v>
      </c>
      <c r="B164" s="123">
        <f>B151/SUM($B151:$D151)</f>
        <v>0.32248173488879056</v>
      </c>
      <c r="C164" s="123">
        <f t="shared" ref="C164:D164" si="12">C151/SUM($B151:$D151)</f>
        <v>0.34412265413379667</v>
      </c>
      <c r="D164" s="123">
        <f t="shared" si="12"/>
        <v>0.33339561097741272</v>
      </c>
      <c r="E164" s="125">
        <f>SUM(B164:D164)</f>
        <v>1</v>
      </c>
    </row>
    <row r="165" spans="1:5" x14ac:dyDescent="0.25">
      <c r="A165" s="41" t="s">
        <v>14</v>
      </c>
      <c r="B165" s="123">
        <f t="shared" ref="B165:D165" si="13">B152/SUM($B152:$D152)</f>
        <v>0.35263157894736841</v>
      </c>
      <c r="C165" s="123">
        <f t="shared" si="13"/>
        <v>0.31578947368421051</v>
      </c>
      <c r="D165" s="123">
        <f t="shared" si="13"/>
        <v>0.33157894736842108</v>
      </c>
      <c r="E165" s="125">
        <f t="shared" ref="E165:E173" si="14">SUM(B165:D165)</f>
        <v>1</v>
      </c>
    </row>
    <row r="166" spans="1:5" x14ac:dyDescent="0.25">
      <c r="A166" s="41" t="s">
        <v>15</v>
      </c>
      <c r="B166" s="123">
        <f t="shared" ref="B166:D166" si="15">B153/SUM($B153:$D153)</f>
        <v>0.33400974526614446</v>
      </c>
      <c r="C166" s="123">
        <f t="shared" si="15"/>
        <v>0.30765435144637021</v>
      </c>
      <c r="D166" s="123">
        <f t="shared" si="15"/>
        <v>0.35833590328748538</v>
      </c>
      <c r="E166" s="125">
        <f t="shared" si="14"/>
        <v>1</v>
      </c>
    </row>
    <row r="167" spans="1:5" x14ac:dyDescent="0.25">
      <c r="A167" s="41" t="s">
        <v>16</v>
      </c>
      <c r="B167" s="123">
        <f t="shared" ref="B167:D167" si="16">B154/SUM($B154:$D154)</f>
        <v>0.36252639585272373</v>
      </c>
      <c r="C167" s="123">
        <f t="shared" si="16"/>
        <v>0.34430700253200031</v>
      </c>
      <c r="D167" s="123">
        <f t="shared" si="16"/>
        <v>0.29316660161527608</v>
      </c>
      <c r="E167" s="125">
        <f t="shared" si="14"/>
        <v>1</v>
      </c>
    </row>
    <row r="168" spans="1:5" x14ac:dyDescent="0.25">
      <c r="A168" s="41" t="s">
        <v>18</v>
      </c>
      <c r="B168" s="123">
        <f t="shared" ref="B168:D168" si="17">B155/SUM($B155:$D155)</f>
        <v>0.36275795732773702</v>
      </c>
      <c r="C168" s="123">
        <f t="shared" si="17"/>
        <v>0.2989244491080798</v>
      </c>
      <c r="D168" s="123">
        <f t="shared" si="17"/>
        <v>0.33831759356418328</v>
      </c>
      <c r="E168" s="125">
        <f t="shared" si="14"/>
        <v>1.0000000000000002</v>
      </c>
    </row>
    <row r="169" spans="1:5" x14ac:dyDescent="0.25">
      <c r="A169" s="41" t="s">
        <v>19</v>
      </c>
      <c r="B169" s="123">
        <f t="shared" ref="B169:D169" si="18">B156/SUM($B156:$D156)</f>
        <v>0.37315823190262648</v>
      </c>
      <c r="C169" s="123">
        <f t="shared" si="18"/>
        <v>0.33440102498398466</v>
      </c>
      <c r="D169" s="123">
        <f t="shared" si="18"/>
        <v>0.2924407431133888</v>
      </c>
      <c r="E169" s="125">
        <f t="shared" si="14"/>
        <v>1</v>
      </c>
    </row>
    <row r="170" spans="1:5" x14ac:dyDescent="0.25">
      <c r="A170" s="41" t="s">
        <v>20</v>
      </c>
      <c r="B170" s="123">
        <f t="shared" ref="B170:D170" si="19">B157/SUM($B157:$D157)</f>
        <v>0.36152237071470078</v>
      </c>
      <c r="C170" s="123">
        <f t="shared" si="19"/>
        <v>0.31920976176641486</v>
      </c>
      <c r="D170" s="123">
        <f t="shared" si="19"/>
        <v>0.31926786751888436</v>
      </c>
      <c r="E170" s="125">
        <f t="shared" si="14"/>
        <v>1</v>
      </c>
    </row>
    <row r="171" spans="1:5" x14ac:dyDescent="0.25">
      <c r="A171" s="41" t="s">
        <v>21</v>
      </c>
      <c r="B171" s="123">
        <f t="shared" ref="B171:D171" si="20">B158/SUM($B158:$D158)</f>
        <v>0.34107533585777622</v>
      </c>
      <c r="C171" s="123">
        <f t="shared" si="20"/>
        <v>0.34139446168938709</v>
      </c>
      <c r="D171" s="123">
        <f t="shared" si="20"/>
        <v>0.31753020245283653</v>
      </c>
      <c r="E171" s="125">
        <f t="shared" si="14"/>
        <v>0.99999999999999978</v>
      </c>
    </row>
    <row r="172" spans="1:5" x14ac:dyDescent="0.25">
      <c r="A172" s="41" t="s">
        <v>23</v>
      </c>
      <c r="B172" s="123">
        <f t="shared" ref="B172:D172" si="21">B159/SUM($B159:$D159)</f>
        <v>0.35349985532002282</v>
      </c>
      <c r="C172" s="123">
        <f t="shared" si="21"/>
        <v>0.31908935622077234</v>
      </c>
      <c r="D172" s="123">
        <f t="shared" si="21"/>
        <v>0.32741078845920496</v>
      </c>
      <c r="E172" s="125">
        <f t="shared" si="14"/>
        <v>1.0000000000000002</v>
      </c>
    </row>
    <row r="173" spans="1:5" x14ac:dyDescent="0.25">
      <c r="A173" s="41" t="s">
        <v>24</v>
      </c>
      <c r="B173" s="123">
        <f t="shared" ref="B173:D173" si="22">B160/SUM($B160:$D160)</f>
        <v>0.31578018298911303</v>
      </c>
      <c r="C173" s="123">
        <f t="shared" si="22"/>
        <v>0.32569721708189286</v>
      </c>
      <c r="D173" s="123">
        <f t="shared" si="22"/>
        <v>0.35852259992899405</v>
      </c>
      <c r="E173" s="125">
        <f t="shared" si="14"/>
        <v>1</v>
      </c>
    </row>
    <row r="175" spans="1:5" x14ac:dyDescent="0.25">
      <c r="A175" s="1" t="s">
        <v>162</v>
      </c>
    </row>
    <row r="176" spans="1:5" x14ac:dyDescent="0.25">
      <c r="A176" s="86" t="s">
        <v>113</v>
      </c>
      <c r="B176" s="3" t="s">
        <v>107</v>
      </c>
      <c r="C176" s="3" t="s">
        <v>108</v>
      </c>
      <c r="D176" s="3" t="s">
        <v>134</v>
      </c>
      <c r="E176" s="126" t="s">
        <v>159</v>
      </c>
    </row>
    <row r="177" spans="1:5" x14ac:dyDescent="0.25">
      <c r="A177" s="41" t="s">
        <v>25</v>
      </c>
      <c r="B177" s="123">
        <f>$B$106*E$101+(1-$B$106)*B164</f>
        <v>0.31348904093327434</v>
      </c>
      <c r="C177" s="123">
        <f>$B$106*$E$102+(1-$B$106)*C164</f>
        <v>0.32647359248027796</v>
      </c>
      <c r="D177" s="123">
        <f>$B$106*$E$103+(1-$B$106)*D164</f>
        <v>0.36003736658644769</v>
      </c>
      <c r="E177" s="125">
        <f>SUM(B177:D177)</f>
        <v>1</v>
      </c>
    </row>
    <row r="178" spans="1:5" x14ac:dyDescent="0.25">
      <c r="A178" s="41" t="s">
        <v>14</v>
      </c>
      <c r="B178" s="123">
        <f>$B$106*E$101+(1-$B$106)*B165</f>
        <v>0.33157894736842103</v>
      </c>
      <c r="C178" s="123">
        <f t="shared" ref="C178:C186" si="23">$B$106*$E$102+(1-$B$106)*C165</f>
        <v>0.30947368421052629</v>
      </c>
      <c r="D178" s="123">
        <f t="shared" ref="D178:D186" si="24">$B$106*$E$103+(1-$B$106)*D165</f>
        <v>0.35894736842105268</v>
      </c>
      <c r="E178" s="125">
        <f t="shared" ref="E178:E186" si="25">SUM(B178:D178)</f>
        <v>1</v>
      </c>
    </row>
    <row r="179" spans="1:5" x14ac:dyDescent="0.25">
      <c r="A179" s="41" t="s">
        <v>15</v>
      </c>
      <c r="B179" s="123">
        <f t="shared" ref="B179:B186" si="26">$B$106*E$101+(1-$B$106)*B166</f>
        <v>0.32040584715968667</v>
      </c>
      <c r="C179" s="123">
        <f t="shared" si="23"/>
        <v>0.30459261086782208</v>
      </c>
      <c r="D179" s="123">
        <f t="shared" si="24"/>
        <v>0.37500154197249125</v>
      </c>
      <c r="E179" s="125">
        <f t="shared" si="25"/>
        <v>1</v>
      </c>
    </row>
    <row r="180" spans="1:5" x14ac:dyDescent="0.25">
      <c r="A180" s="41" t="s">
        <v>16</v>
      </c>
      <c r="B180" s="123">
        <f t="shared" si="26"/>
        <v>0.33751583751163422</v>
      </c>
      <c r="C180" s="123">
        <f t="shared" si="23"/>
        <v>0.3265842015192002</v>
      </c>
      <c r="D180" s="123">
        <f t="shared" si="24"/>
        <v>0.33589996096916563</v>
      </c>
      <c r="E180" s="125">
        <f t="shared" si="25"/>
        <v>1</v>
      </c>
    </row>
    <row r="181" spans="1:5" x14ac:dyDescent="0.25">
      <c r="A181" s="41" t="s">
        <v>18</v>
      </c>
      <c r="B181" s="123">
        <f t="shared" si="26"/>
        <v>0.33765477439664221</v>
      </c>
      <c r="C181" s="123">
        <f t="shared" si="23"/>
        <v>0.2993546694648479</v>
      </c>
      <c r="D181" s="123">
        <f t="shared" si="24"/>
        <v>0.36299055613851</v>
      </c>
      <c r="E181" s="125">
        <f t="shared" si="25"/>
        <v>1.0000000000000002</v>
      </c>
    </row>
    <row r="182" spans="1:5" x14ac:dyDescent="0.25">
      <c r="A182" s="41" t="s">
        <v>19</v>
      </c>
      <c r="B182" s="123">
        <f t="shared" si="26"/>
        <v>0.34389493914157587</v>
      </c>
      <c r="C182" s="123">
        <f t="shared" si="23"/>
        <v>0.32064061499039076</v>
      </c>
      <c r="D182" s="123">
        <f t="shared" si="24"/>
        <v>0.33546444586803331</v>
      </c>
      <c r="E182" s="125">
        <f t="shared" si="25"/>
        <v>1</v>
      </c>
    </row>
    <row r="183" spans="1:5" x14ac:dyDescent="0.25">
      <c r="A183" s="41" t="s">
        <v>20</v>
      </c>
      <c r="B183" s="123">
        <f t="shared" si="26"/>
        <v>0.3369134224288205</v>
      </c>
      <c r="C183" s="123">
        <f t="shared" si="23"/>
        <v>0.31152585705984892</v>
      </c>
      <c r="D183" s="123">
        <f t="shared" si="24"/>
        <v>0.35156072051133064</v>
      </c>
      <c r="E183" s="125">
        <f t="shared" si="25"/>
        <v>1</v>
      </c>
    </row>
    <row r="184" spans="1:5" x14ac:dyDescent="0.25">
      <c r="A184" s="41" t="s">
        <v>21</v>
      </c>
      <c r="B184" s="123">
        <f t="shared" si="26"/>
        <v>0.32464520151466569</v>
      </c>
      <c r="C184" s="123">
        <f t="shared" si="23"/>
        <v>0.32483667701363228</v>
      </c>
      <c r="D184" s="123">
        <f t="shared" si="24"/>
        <v>0.35051812147170192</v>
      </c>
      <c r="E184" s="125">
        <f t="shared" si="25"/>
        <v>0.99999999999999989</v>
      </c>
    </row>
    <row r="185" spans="1:5" x14ac:dyDescent="0.25">
      <c r="A185" s="41" t="s">
        <v>23</v>
      </c>
      <c r="B185" s="123">
        <f t="shared" si="26"/>
        <v>0.33209991319201371</v>
      </c>
      <c r="C185" s="123">
        <f t="shared" si="23"/>
        <v>0.31145361373246339</v>
      </c>
      <c r="D185" s="123">
        <f t="shared" si="24"/>
        <v>0.35644647307552302</v>
      </c>
      <c r="E185" s="125">
        <f t="shared" si="25"/>
        <v>1</v>
      </c>
    </row>
    <row r="186" spans="1:5" x14ac:dyDescent="0.25">
      <c r="A186" s="41" t="s">
        <v>24</v>
      </c>
      <c r="B186" s="123">
        <f t="shared" si="26"/>
        <v>0.30946810979346784</v>
      </c>
      <c r="C186" s="123">
        <f t="shared" si="23"/>
        <v>0.31541833024913568</v>
      </c>
      <c r="D186" s="123">
        <f t="shared" si="24"/>
        <v>0.37511355995739648</v>
      </c>
      <c r="E186" s="125">
        <f t="shared" si="25"/>
        <v>1</v>
      </c>
    </row>
    <row r="188" spans="1:5" x14ac:dyDescent="0.25">
      <c r="A188" s="1" t="s">
        <v>165</v>
      </c>
    </row>
    <row r="189" spans="1:5" x14ac:dyDescent="0.25">
      <c r="A189" s="86" t="s">
        <v>113</v>
      </c>
      <c r="B189" s="86" t="s">
        <v>114</v>
      </c>
      <c r="C189" s="86" t="s">
        <v>115</v>
      </c>
      <c r="D189" s="86" t="s">
        <v>116</v>
      </c>
    </row>
    <row r="190" spans="1:5" x14ac:dyDescent="0.25">
      <c r="A190" s="41" t="s">
        <v>25</v>
      </c>
      <c r="B190" s="2">
        <f t="shared" ref="B190:B199" si="27">J14</f>
        <v>14.15</v>
      </c>
      <c r="C190" s="2">
        <f t="shared" ref="C190:C199" si="28">J44</f>
        <v>12.425000000000001</v>
      </c>
      <c r="D190" s="2">
        <f t="shared" ref="D190:D199" si="29">J74</f>
        <v>11.625</v>
      </c>
    </row>
    <row r="191" spans="1:5" x14ac:dyDescent="0.25">
      <c r="A191" s="41" t="s">
        <v>14</v>
      </c>
      <c r="B191" s="2">
        <f t="shared" si="27"/>
        <v>6.6000000000000005</v>
      </c>
      <c r="C191" s="2">
        <f t="shared" si="28"/>
        <v>8.25</v>
      </c>
      <c r="D191" s="2">
        <f t="shared" si="29"/>
        <v>5.7750000000000004</v>
      </c>
    </row>
    <row r="192" spans="1:5" x14ac:dyDescent="0.25">
      <c r="A192" s="41" t="s">
        <v>15</v>
      </c>
      <c r="B192" s="2">
        <f t="shared" si="27"/>
        <v>9.9</v>
      </c>
      <c r="C192" s="2">
        <f t="shared" si="28"/>
        <v>15.75</v>
      </c>
      <c r="D192" s="2">
        <f t="shared" si="29"/>
        <v>11.600000000000001</v>
      </c>
    </row>
    <row r="193" spans="1:5" x14ac:dyDescent="0.25">
      <c r="A193" s="41" t="s">
        <v>16</v>
      </c>
      <c r="B193" s="2">
        <f t="shared" si="27"/>
        <v>12.450000000000001</v>
      </c>
      <c r="C193" s="2">
        <f t="shared" si="28"/>
        <v>14.1</v>
      </c>
      <c r="D193" s="2">
        <f t="shared" si="29"/>
        <v>8.2750000000000004</v>
      </c>
    </row>
    <row r="194" spans="1:5" x14ac:dyDescent="0.25">
      <c r="A194" s="41" t="s">
        <v>18</v>
      </c>
      <c r="B194" s="2">
        <f t="shared" si="27"/>
        <v>10.75</v>
      </c>
      <c r="C194" s="2">
        <f t="shared" si="28"/>
        <v>15.75</v>
      </c>
      <c r="D194" s="2">
        <f t="shared" si="29"/>
        <v>9.125</v>
      </c>
    </row>
    <row r="195" spans="1:5" x14ac:dyDescent="0.25">
      <c r="A195" s="41" t="s">
        <v>19</v>
      </c>
      <c r="B195" s="2">
        <f t="shared" si="27"/>
        <v>10.8</v>
      </c>
      <c r="C195" s="2">
        <f t="shared" si="28"/>
        <v>14.1</v>
      </c>
      <c r="D195" s="2">
        <f t="shared" si="29"/>
        <v>6.6</v>
      </c>
    </row>
    <row r="196" spans="1:5" x14ac:dyDescent="0.25">
      <c r="A196" s="41" t="s">
        <v>20</v>
      </c>
      <c r="B196" s="2">
        <f t="shared" si="27"/>
        <v>10.8</v>
      </c>
      <c r="C196" s="2">
        <f t="shared" si="28"/>
        <v>14.1</v>
      </c>
      <c r="D196" s="2">
        <f t="shared" si="29"/>
        <v>8.2750000000000004</v>
      </c>
    </row>
    <row r="197" spans="1:5" x14ac:dyDescent="0.25">
      <c r="A197" s="41" t="s">
        <v>21</v>
      </c>
      <c r="B197" s="2">
        <f t="shared" si="27"/>
        <v>12.45</v>
      </c>
      <c r="C197" s="2">
        <f t="shared" si="28"/>
        <v>12.425000000000001</v>
      </c>
      <c r="D197" s="2">
        <f t="shared" si="29"/>
        <v>10.8</v>
      </c>
    </row>
    <row r="198" spans="1:5" x14ac:dyDescent="0.25">
      <c r="A198" s="41" t="s">
        <v>23</v>
      </c>
      <c r="B198" s="2">
        <f t="shared" si="27"/>
        <v>10.75</v>
      </c>
      <c r="C198" s="2">
        <f t="shared" si="28"/>
        <v>13.275</v>
      </c>
      <c r="D198" s="2">
        <f t="shared" si="29"/>
        <v>9.125</v>
      </c>
    </row>
    <row r="199" spans="1:5" x14ac:dyDescent="0.25">
      <c r="A199" s="41" t="s">
        <v>24</v>
      </c>
      <c r="B199" s="2">
        <f t="shared" si="27"/>
        <v>8.2750000000000004</v>
      </c>
      <c r="C199" s="2">
        <f t="shared" si="28"/>
        <v>13.275</v>
      </c>
      <c r="D199" s="2">
        <f t="shared" si="29"/>
        <v>10.775</v>
      </c>
    </row>
    <row r="201" spans="1:5" x14ac:dyDescent="0.25">
      <c r="A201" s="1" t="s">
        <v>166</v>
      </c>
    </row>
    <row r="202" spans="1:5" ht="75" x14ac:dyDescent="0.25">
      <c r="A202" s="86" t="s">
        <v>113</v>
      </c>
      <c r="B202" s="86" t="s">
        <v>255</v>
      </c>
      <c r="C202" s="86" t="s">
        <v>256</v>
      </c>
      <c r="D202" s="86" t="s">
        <v>254</v>
      </c>
      <c r="E202" s="86" t="s">
        <v>167</v>
      </c>
    </row>
    <row r="203" spans="1:5" x14ac:dyDescent="0.25">
      <c r="A203" s="41" t="s">
        <v>25</v>
      </c>
      <c r="B203" s="129">
        <f>B177*B190</f>
        <v>4.4358699292058317</v>
      </c>
      <c r="C203" s="129">
        <f t="shared" ref="C203:D203" si="30">C177*C190</f>
        <v>4.0564343865674539</v>
      </c>
      <c r="D203" s="129">
        <f t="shared" si="30"/>
        <v>4.1854343865674544</v>
      </c>
      <c r="E203" s="129">
        <f>B203+C203+D203</f>
        <v>12.67773870234074</v>
      </c>
    </row>
    <row r="204" spans="1:5" x14ac:dyDescent="0.25">
      <c r="A204" s="41" t="s">
        <v>14</v>
      </c>
      <c r="B204" s="129">
        <f t="shared" ref="B204:D212" si="31">B178*B191</f>
        <v>2.188421052631579</v>
      </c>
      <c r="C204" s="129">
        <f t="shared" si="31"/>
        <v>2.5531578947368421</v>
      </c>
      <c r="D204" s="129">
        <f t="shared" si="31"/>
        <v>2.0729210526315796</v>
      </c>
      <c r="E204" s="129">
        <f t="shared" ref="E204:E212" si="32">B204+C204+D204</f>
        <v>6.8145000000000007</v>
      </c>
    </row>
    <row r="205" spans="1:5" x14ac:dyDescent="0.25">
      <c r="A205" s="41" t="s">
        <v>15</v>
      </c>
      <c r="B205" s="129">
        <f t="shared" si="31"/>
        <v>3.1720178868808984</v>
      </c>
      <c r="C205" s="129">
        <f t="shared" si="31"/>
        <v>4.7973336211681978</v>
      </c>
      <c r="D205" s="129">
        <f t="shared" si="31"/>
        <v>4.3500178868808987</v>
      </c>
      <c r="E205" s="129">
        <f t="shared" si="32"/>
        <v>12.319369394929994</v>
      </c>
    </row>
    <row r="206" spans="1:5" x14ac:dyDescent="0.25">
      <c r="A206" s="41" t="s">
        <v>16</v>
      </c>
      <c r="B206" s="129">
        <f t="shared" si="31"/>
        <v>4.2020721770198461</v>
      </c>
      <c r="C206" s="129">
        <f t="shared" si="31"/>
        <v>4.6048372414207224</v>
      </c>
      <c r="D206" s="129">
        <f t="shared" si="31"/>
        <v>2.7795721770198458</v>
      </c>
      <c r="E206" s="129">
        <f t="shared" si="32"/>
        <v>11.586481595460414</v>
      </c>
    </row>
    <row r="207" spans="1:5" x14ac:dyDescent="0.25">
      <c r="A207" s="41" t="s">
        <v>18</v>
      </c>
      <c r="B207" s="129">
        <f t="shared" si="31"/>
        <v>3.6297888247639039</v>
      </c>
      <c r="C207" s="129">
        <f t="shared" si="31"/>
        <v>4.7148360440713546</v>
      </c>
      <c r="D207" s="129">
        <f t="shared" si="31"/>
        <v>3.312288824763904</v>
      </c>
      <c r="E207" s="129">
        <f t="shared" si="32"/>
        <v>11.656913693599162</v>
      </c>
    </row>
    <row r="208" spans="1:5" x14ac:dyDescent="0.25">
      <c r="A208" s="41" t="s">
        <v>19</v>
      </c>
      <c r="B208" s="129">
        <f t="shared" si="31"/>
        <v>3.7140653427290196</v>
      </c>
      <c r="C208" s="129">
        <f t="shared" si="31"/>
        <v>4.5210326713645097</v>
      </c>
      <c r="D208" s="129">
        <f t="shared" si="31"/>
        <v>2.2140653427290196</v>
      </c>
      <c r="E208" s="129">
        <f t="shared" si="32"/>
        <v>10.449163356822549</v>
      </c>
    </row>
    <row r="209" spans="1:5" x14ac:dyDescent="0.25">
      <c r="A209" s="41" t="s">
        <v>20</v>
      </c>
      <c r="B209" s="129">
        <f t="shared" si="31"/>
        <v>3.6386649622312617</v>
      </c>
      <c r="C209" s="129">
        <f t="shared" si="31"/>
        <v>4.3925145845438696</v>
      </c>
      <c r="D209" s="129">
        <f t="shared" si="31"/>
        <v>2.909164962231261</v>
      </c>
      <c r="E209" s="129">
        <f t="shared" si="32"/>
        <v>10.940344509006392</v>
      </c>
    </row>
    <row r="210" spans="1:5" x14ac:dyDescent="0.25">
      <c r="A210" s="41" t="s">
        <v>21</v>
      </c>
      <c r="B210" s="129">
        <f t="shared" si="31"/>
        <v>4.0418327588575877</v>
      </c>
      <c r="C210" s="129">
        <f t="shared" si="31"/>
        <v>4.0360957118943812</v>
      </c>
      <c r="D210" s="129">
        <f t="shared" si="31"/>
        <v>3.785595711894381</v>
      </c>
      <c r="E210" s="129">
        <f t="shared" si="32"/>
        <v>11.86352418264635</v>
      </c>
    </row>
    <row r="211" spans="1:5" x14ac:dyDescent="0.25">
      <c r="A211" s="41" t="s">
        <v>23</v>
      </c>
      <c r="B211" s="129">
        <f t="shared" si="31"/>
        <v>3.5700740668141475</v>
      </c>
      <c r="C211" s="129">
        <f t="shared" si="31"/>
        <v>4.1345467222984515</v>
      </c>
      <c r="D211" s="129">
        <f t="shared" si="31"/>
        <v>3.2525740668141476</v>
      </c>
      <c r="E211" s="129">
        <f t="shared" si="32"/>
        <v>10.957194855926748</v>
      </c>
    </row>
    <row r="212" spans="1:5" x14ac:dyDescent="0.25">
      <c r="A212" s="41" t="s">
        <v>24</v>
      </c>
      <c r="B212" s="129">
        <f t="shared" si="31"/>
        <v>2.5608486085409465</v>
      </c>
      <c r="C212" s="129">
        <f t="shared" si="31"/>
        <v>4.1871783340572764</v>
      </c>
      <c r="D212" s="129">
        <f t="shared" si="31"/>
        <v>4.0418486085409473</v>
      </c>
      <c r="E212" s="129">
        <f t="shared" si="32"/>
        <v>10.78987555113917</v>
      </c>
    </row>
    <row r="214" spans="1:5" ht="15.75" thickBot="1" x14ac:dyDescent="0.3">
      <c r="A214" s="1" t="s">
        <v>169</v>
      </c>
    </row>
    <row r="215" spans="1:5" ht="30.75" thickBot="1" x14ac:dyDescent="0.3">
      <c r="A215" s="208" t="s">
        <v>113</v>
      </c>
      <c r="B215" s="209" t="s">
        <v>167</v>
      </c>
    </row>
    <row r="216" spans="1:5" x14ac:dyDescent="0.25">
      <c r="A216" s="106" t="s">
        <v>25</v>
      </c>
      <c r="B216" s="173">
        <v>12.67773870234074</v>
      </c>
    </row>
    <row r="217" spans="1:5" x14ac:dyDescent="0.25">
      <c r="A217" s="4" t="s">
        <v>15</v>
      </c>
      <c r="B217" s="136">
        <v>12.319369394929994</v>
      </c>
    </row>
    <row r="218" spans="1:5" x14ac:dyDescent="0.25">
      <c r="A218" s="4" t="s">
        <v>21</v>
      </c>
      <c r="B218" s="136">
        <v>11.86352418264635</v>
      </c>
    </row>
    <row r="219" spans="1:5" x14ac:dyDescent="0.25">
      <c r="A219" s="4" t="s">
        <v>18</v>
      </c>
      <c r="B219" s="136">
        <v>11.656913693599162</v>
      </c>
    </row>
    <row r="220" spans="1:5" x14ac:dyDescent="0.25">
      <c r="A220" s="4" t="s">
        <v>16</v>
      </c>
      <c r="B220" s="136">
        <v>11.586481595460414</v>
      </c>
    </row>
    <row r="221" spans="1:5" x14ac:dyDescent="0.25">
      <c r="A221" s="4" t="s">
        <v>23</v>
      </c>
      <c r="B221" s="136">
        <v>10.957194855926748</v>
      </c>
    </row>
    <row r="222" spans="1:5" x14ac:dyDescent="0.25">
      <c r="A222" s="4" t="s">
        <v>20</v>
      </c>
      <c r="B222" s="136">
        <v>10.940344509006392</v>
      </c>
    </row>
    <row r="223" spans="1:5" x14ac:dyDescent="0.25">
      <c r="A223" s="4" t="s">
        <v>24</v>
      </c>
      <c r="B223" s="136">
        <v>10.78987555113917</v>
      </c>
    </row>
    <row r="224" spans="1:5" x14ac:dyDescent="0.25">
      <c r="A224" s="4" t="s">
        <v>19</v>
      </c>
      <c r="B224" s="136">
        <v>10.449163356822549</v>
      </c>
    </row>
    <row r="225" spans="1:2" ht="15.75" thickBot="1" x14ac:dyDescent="0.3">
      <c r="A225" s="95" t="s">
        <v>14</v>
      </c>
      <c r="B225" s="140">
        <v>6.8145000000000007</v>
      </c>
    </row>
  </sheetData>
  <sortState xmlns:xlrd2="http://schemas.microsoft.com/office/spreadsheetml/2017/richdata2" ref="A216:J225">
    <sortCondition descending="1" ref="B216:B225"/>
  </sortState>
  <mergeCells count="20"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</mergeCells>
  <phoneticPr fontId="6" type="noConversion"/>
  <hyperlinks>
    <hyperlink ref="B4" r:id="rId1" xr:uid="{98ABECCE-416D-43AF-ABBE-876CC02B323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6"/>
  <sheetViews>
    <sheetView zoomScaleNormal="100" workbookViewId="0">
      <selection activeCell="B232" sqref="B232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ht="18.75" x14ac:dyDescent="0.3">
      <c r="A1" s="204" t="s">
        <v>246</v>
      </c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46" t="s">
        <v>221</v>
      </c>
      <c r="B5" s="247"/>
      <c r="C5" s="247"/>
      <c r="D5" s="248"/>
      <c r="E5" s="248"/>
    </row>
    <row r="6" spans="1:10" ht="15.75" x14ac:dyDescent="0.25">
      <c r="A6" s="146" t="s">
        <v>181</v>
      </c>
      <c r="B6" s="147" t="s">
        <v>184</v>
      </c>
      <c r="C6" s="38"/>
    </row>
    <row r="7" spans="1:10" x14ac:dyDescent="0.25">
      <c r="A7" s="246" t="s">
        <v>222</v>
      </c>
      <c r="B7" s="247"/>
      <c r="C7" s="247"/>
      <c r="D7" s="248"/>
      <c r="E7" s="24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42" t="s">
        <v>26</v>
      </c>
      <c r="B12" s="242" t="s">
        <v>27</v>
      </c>
      <c r="C12" s="242" t="s">
        <v>28</v>
      </c>
      <c r="D12" s="242" t="s">
        <v>58</v>
      </c>
      <c r="E12" s="242"/>
      <c r="F12" s="242"/>
      <c r="G12" s="242" t="s">
        <v>59</v>
      </c>
      <c r="H12" s="242"/>
      <c r="I12" s="242"/>
      <c r="J12" s="242" t="s">
        <v>54</v>
      </c>
    </row>
    <row r="13" spans="1:10" s="36" customFormat="1" ht="18" customHeight="1" x14ac:dyDescent="0.25">
      <c r="A13" s="242"/>
      <c r="B13" s="242"/>
      <c r="C13" s="242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2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45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42" t="s">
        <v>26</v>
      </c>
      <c r="B42" s="242" t="s">
        <v>27</v>
      </c>
      <c r="C42" s="242" t="s">
        <v>28</v>
      </c>
      <c r="D42" s="242" t="s">
        <v>58</v>
      </c>
      <c r="E42" s="242"/>
      <c r="F42" s="242"/>
      <c r="G42" s="242" t="s">
        <v>59</v>
      </c>
      <c r="H42" s="242"/>
      <c r="I42" s="242"/>
      <c r="J42" s="242" t="s">
        <v>54</v>
      </c>
    </row>
    <row r="43" spans="1:10" s="36" customFormat="1" ht="18" customHeight="1" x14ac:dyDescent="0.25">
      <c r="A43" s="242"/>
      <c r="B43" s="242"/>
      <c r="C43" s="242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42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45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42" t="s">
        <v>26</v>
      </c>
      <c r="B72" s="242" t="s">
        <v>27</v>
      </c>
      <c r="C72" s="242" t="s">
        <v>28</v>
      </c>
      <c r="D72" s="242" t="s">
        <v>58</v>
      </c>
      <c r="E72" s="242"/>
      <c r="F72" s="242"/>
      <c r="G72" s="242" t="s">
        <v>59</v>
      </c>
      <c r="H72" s="242"/>
      <c r="I72" s="242"/>
      <c r="J72" s="242" t="s">
        <v>54</v>
      </c>
    </row>
    <row r="73" spans="1:10" x14ac:dyDescent="0.25">
      <c r="A73" s="242"/>
      <c r="B73" s="242"/>
      <c r="C73" s="242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42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45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8" spans="1:4" x14ac:dyDescent="0.25">
      <c r="A98" s="1" t="s">
        <v>195</v>
      </c>
    </row>
    <row r="99" spans="1:4" x14ac:dyDescent="0.25">
      <c r="A99" s="86" t="s">
        <v>113</v>
      </c>
      <c r="B99" s="86" t="s">
        <v>114</v>
      </c>
      <c r="C99" s="86" t="s">
        <v>115</v>
      </c>
      <c r="D99" s="86" t="s">
        <v>116</v>
      </c>
    </row>
    <row r="100" spans="1:4" x14ac:dyDescent="0.25">
      <c r="A100" s="41" t="s">
        <v>25</v>
      </c>
      <c r="B100" s="2">
        <f>J14</f>
        <v>14.15</v>
      </c>
      <c r="C100" s="2">
        <f>J44</f>
        <v>12.425000000000001</v>
      </c>
      <c r="D100" s="2">
        <f>J74</f>
        <v>11.625</v>
      </c>
    </row>
    <row r="101" spans="1:4" x14ac:dyDescent="0.25">
      <c r="A101" s="41" t="s">
        <v>14</v>
      </c>
      <c r="B101" s="2">
        <f t="shared" ref="B101:B109" si="10">J15</f>
        <v>6.6000000000000005</v>
      </c>
      <c r="C101" s="2">
        <f t="shared" ref="C101:C109" si="11">J45</f>
        <v>8.25</v>
      </c>
      <c r="D101" s="2">
        <f t="shared" ref="D101:D109" si="12">J75</f>
        <v>5.7750000000000004</v>
      </c>
    </row>
    <row r="102" spans="1:4" x14ac:dyDescent="0.25">
      <c r="A102" s="41" t="s">
        <v>15</v>
      </c>
      <c r="B102" s="2">
        <f t="shared" si="10"/>
        <v>9.9</v>
      </c>
      <c r="C102" s="2">
        <f t="shared" si="11"/>
        <v>15.75</v>
      </c>
      <c r="D102" s="2">
        <f t="shared" si="12"/>
        <v>11.600000000000001</v>
      </c>
    </row>
    <row r="103" spans="1:4" x14ac:dyDescent="0.25">
      <c r="A103" s="41" t="s">
        <v>16</v>
      </c>
      <c r="B103" s="2">
        <f t="shared" si="10"/>
        <v>12.450000000000001</v>
      </c>
      <c r="C103" s="2">
        <f t="shared" si="11"/>
        <v>14.1</v>
      </c>
      <c r="D103" s="2">
        <f t="shared" si="12"/>
        <v>8.2750000000000004</v>
      </c>
    </row>
    <row r="104" spans="1:4" x14ac:dyDescent="0.25">
      <c r="A104" s="41" t="s">
        <v>18</v>
      </c>
      <c r="B104" s="2">
        <f t="shared" si="10"/>
        <v>10.75</v>
      </c>
      <c r="C104" s="2">
        <f t="shared" si="11"/>
        <v>15.75</v>
      </c>
      <c r="D104" s="2">
        <f t="shared" si="12"/>
        <v>9.125</v>
      </c>
    </row>
    <row r="105" spans="1:4" x14ac:dyDescent="0.25">
      <c r="A105" s="41" t="s">
        <v>19</v>
      </c>
      <c r="B105" s="2">
        <f t="shared" si="10"/>
        <v>10.8</v>
      </c>
      <c r="C105" s="2">
        <f t="shared" si="11"/>
        <v>14.1</v>
      </c>
      <c r="D105" s="2">
        <f t="shared" si="12"/>
        <v>6.6</v>
      </c>
    </row>
    <row r="106" spans="1:4" x14ac:dyDescent="0.25">
      <c r="A106" s="41" t="s">
        <v>20</v>
      </c>
      <c r="B106" s="2">
        <f t="shared" si="10"/>
        <v>10.8</v>
      </c>
      <c r="C106" s="2">
        <f t="shared" si="11"/>
        <v>14.1</v>
      </c>
      <c r="D106" s="2">
        <f t="shared" si="12"/>
        <v>8.2750000000000004</v>
      </c>
    </row>
    <row r="107" spans="1:4" x14ac:dyDescent="0.25">
      <c r="A107" s="41" t="s">
        <v>21</v>
      </c>
      <c r="B107" s="2">
        <f t="shared" si="10"/>
        <v>12.45</v>
      </c>
      <c r="C107" s="2">
        <f t="shared" si="11"/>
        <v>12.425000000000001</v>
      </c>
      <c r="D107" s="2">
        <f t="shared" si="12"/>
        <v>10.8</v>
      </c>
    </row>
    <row r="108" spans="1:4" x14ac:dyDescent="0.25">
      <c r="A108" s="41" t="s">
        <v>23</v>
      </c>
      <c r="B108" s="2">
        <f t="shared" si="10"/>
        <v>10.75</v>
      </c>
      <c r="C108" s="2">
        <f t="shared" si="11"/>
        <v>13.275</v>
      </c>
      <c r="D108" s="2">
        <f t="shared" si="12"/>
        <v>9.125</v>
      </c>
    </row>
    <row r="109" spans="1:4" x14ac:dyDescent="0.25">
      <c r="A109" s="41" t="s">
        <v>24</v>
      </c>
      <c r="B109" s="2">
        <f t="shared" si="10"/>
        <v>8.2750000000000004</v>
      </c>
      <c r="C109" s="2">
        <f t="shared" si="11"/>
        <v>13.275</v>
      </c>
      <c r="D109" s="2">
        <f t="shared" si="12"/>
        <v>10.775</v>
      </c>
    </row>
    <row r="111" spans="1:4" x14ac:dyDescent="0.25">
      <c r="A111" s="1" t="s">
        <v>196</v>
      </c>
    </row>
    <row r="112" spans="1:4" x14ac:dyDescent="0.25">
      <c r="A112" s="86" t="s">
        <v>113</v>
      </c>
      <c r="B112" s="86" t="s">
        <v>114</v>
      </c>
      <c r="C112" s="86" t="s">
        <v>115</v>
      </c>
      <c r="D112" s="86" t="s">
        <v>116</v>
      </c>
    </row>
    <row r="113" spans="1:7" x14ac:dyDescent="0.25">
      <c r="A113" s="41" t="s">
        <v>25</v>
      </c>
      <c r="B113" s="123">
        <f>B100/MAX($B$100:$D$109)</f>
        <v>0.89841269841269844</v>
      </c>
      <c r="C113" s="123">
        <f t="shared" ref="C113:D113" si="13">C100/MAX($B$100:$D$109)</f>
        <v>0.78888888888888897</v>
      </c>
      <c r="D113" s="123">
        <f t="shared" si="13"/>
        <v>0.73809523809523814</v>
      </c>
      <c r="E113" s="128"/>
      <c r="F113" s="128"/>
      <c r="G113" s="128"/>
    </row>
    <row r="114" spans="1:7" x14ac:dyDescent="0.25">
      <c r="A114" s="41" t="s">
        <v>14</v>
      </c>
      <c r="B114" s="123">
        <f t="shared" ref="B114:D122" si="14">B101/MAX($B$100:$D$109)</f>
        <v>0.41904761904761906</v>
      </c>
      <c r="C114" s="123">
        <f t="shared" si="14"/>
        <v>0.52380952380952384</v>
      </c>
      <c r="D114" s="123">
        <f t="shared" si="14"/>
        <v>0.3666666666666667</v>
      </c>
      <c r="E114" s="128"/>
      <c r="F114" s="128"/>
      <c r="G114" s="128"/>
    </row>
    <row r="115" spans="1:7" x14ac:dyDescent="0.25">
      <c r="A115" s="41" t="s">
        <v>15</v>
      </c>
      <c r="B115" s="123">
        <f t="shared" si="14"/>
        <v>0.62857142857142856</v>
      </c>
      <c r="C115" s="123">
        <f t="shared" si="14"/>
        <v>1</v>
      </c>
      <c r="D115" s="123">
        <f t="shared" si="14"/>
        <v>0.73650793650793656</v>
      </c>
      <c r="E115" s="128"/>
      <c r="F115" s="128"/>
      <c r="G115" s="128"/>
    </row>
    <row r="116" spans="1:7" x14ac:dyDescent="0.25">
      <c r="A116" s="41" t="s">
        <v>16</v>
      </c>
      <c r="B116" s="123">
        <f t="shared" si="14"/>
        <v>0.79047619047619055</v>
      </c>
      <c r="C116" s="123">
        <f t="shared" si="14"/>
        <v>0.89523809523809517</v>
      </c>
      <c r="D116" s="123">
        <f t="shared" si="14"/>
        <v>0.52539682539682542</v>
      </c>
      <c r="E116" s="128"/>
      <c r="F116" s="128"/>
      <c r="G116" s="128"/>
    </row>
    <row r="117" spans="1:7" x14ac:dyDescent="0.25">
      <c r="A117" s="41" t="s">
        <v>18</v>
      </c>
      <c r="B117" s="123">
        <f t="shared" si="14"/>
        <v>0.68253968253968256</v>
      </c>
      <c r="C117" s="123">
        <f t="shared" si="14"/>
        <v>1</v>
      </c>
      <c r="D117" s="123">
        <f t="shared" si="14"/>
        <v>0.57936507936507942</v>
      </c>
      <c r="E117" s="128"/>
      <c r="F117" s="128"/>
      <c r="G117" s="128"/>
    </row>
    <row r="118" spans="1:7" x14ac:dyDescent="0.25">
      <c r="A118" s="41" t="s">
        <v>19</v>
      </c>
      <c r="B118" s="123">
        <f t="shared" si="14"/>
        <v>0.68571428571428572</v>
      </c>
      <c r="C118" s="123">
        <f t="shared" si="14"/>
        <v>0.89523809523809517</v>
      </c>
      <c r="D118" s="123">
        <f t="shared" si="14"/>
        <v>0.419047619047619</v>
      </c>
      <c r="E118" s="128"/>
      <c r="F118" s="128"/>
      <c r="G118" s="128"/>
    </row>
    <row r="119" spans="1:7" x14ac:dyDescent="0.25">
      <c r="A119" s="41" t="s">
        <v>20</v>
      </c>
      <c r="B119" s="123">
        <f t="shared" si="14"/>
        <v>0.68571428571428572</v>
      </c>
      <c r="C119" s="123">
        <f t="shared" si="14"/>
        <v>0.89523809523809517</v>
      </c>
      <c r="D119" s="123">
        <f t="shared" si="14"/>
        <v>0.52539682539682542</v>
      </c>
      <c r="E119" s="128"/>
      <c r="F119" s="128"/>
      <c r="G119" s="128"/>
    </row>
    <row r="120" spans="1:7" x14ac:dyDescent="0.25">
      <c r="A120" s="41" t="s">
        <v>21</v>
      </c>
      <c r="B120" s="123">
        <f t="shared" si="14"/>
        <v>0.79047619047619044</v>
      </c>
      <c r="C120" s="123">
        <f t="shared" si="14"/>
        <v>0.78888888888888897</v>
      </c>
      <c r="D120" s="123">
        <f t="shared" si="14"/>
        <v>0.68571428571428572</v>
      </c>
      <c r="E120" s="128"/>
      <c r="F120" s="128"/>
      <c r="G120" s="128"/>
    </row>
    <row r="121" spans="1:7" x14ac:dyDescent="0.25">
      <c r="A121" s="41" t="s">
        <v>23</v>
      </c>
      <c r="B121" s="123">
        <f t="shared" si="14"/>
        <v>0.68253968253968256</v>
      </c>
      <c r="C121" s="123">
        <f t="shared" si="14"/>
        <v>0.84285714285714286</v>
      </c>
      <c r="D121" s="123">
        <f t="shared" si="14"/>
        <v>0.57936507936507942</v>
      </c>
      <c r="E121" s="128"/>
      <c r="F121" s="128"/>
      <c r="G121" s="128"/>
    </row>
    <row r="122" spans="1:7" x14ac:dyDescent="0.25">
      <c r="A122" s="41" t="s">
        <v>24</v>
      </c>
      <c r="B122" s="123">
        <f t="shared" si="14"/>
        <v>0.52539682539682542</v>
      </c>
      <c r="C122" s="123">
        <f t="shared" si="14"/>
        <v>0.84285714285714286</v>
      </c>
      <c r="D122" s="123">
        <f t="shared" si="14"/>
        <v>0.68412698412698414</v>
      </c>
      <c r="E122" s="128"/>
      <c r="F122" s="128"/>
      <c r="G122" s="128"/>
    </row>
    <row r="125" spans="1:7" x14ac:dyDescent="0.25">
      <c r="A125" s="1" t="s">
        <v>197</v>
      </c>
    </row>
    <row r="126" spans="1:7" s="36" customFormat="1" ht="45" x14ac:dyDescent="0.25">
      <c r="A126" s="86" t="s">
        <v>106</v>
      </c>
      <c r="B126" s="86" t="s">
        <v>154</v>
      </c>
      <c r="C126" s="86" t="s">
        <v>153</v>
      </c>
    </row>
    <row r="127" spans="1:7" x14ac:dyDescent="0.25">
      <c r="A127" s="2" t="s">
        <v>107</v>
      </c>
      <c r="B127" s="2">
        <v>0.75</v>
      </c>
      <c r="C127" s="2">
        <f t="shared" ref="C127:C129" si="15">B127/B$130</f>
        <v>0.3</v>
      </c>
    </row>
    <row r="128" spans="1:7" x14ac:dyDescent="0.25">
      <c r="A128" s="2" t="s">
        <v>108</v>
      </c>
      <c r="B128" s="2">
        <v>0.75</v>
      </c>
      <c r="C128" s="2">
        <f t="shared" si="15"/>
        <v>0.3</v>
      </c>
    </row>
    <row r="129" spans="1:7" x14ac:dyDescent="0.25">
      <c r="A129" s="2" t="s">
        <v>134</v>
      </c>
      <c r="B129" s="2">
        <v>1</v>
      </c>
      <c r="C129" s="2">
        <f t="shared" si="15"/>
        <v>0.4</v>
      </c>
    </row>
    <row r="130" spans="1:7" x14ac:dyDescent="0.25">
      <c r="A130" s="3" t="s">
        <v>152</v>
      </c>
      <c r="B130" s="3">
        <f t="shared" ref="B130:C130" si="16">SUM(B127:B129)</f>
        <v>2.5</v>
      </c>
      <c r="C130" s="3">
        <f t="shared" si="16"/>
        <v>1</v>
      </c>
    </row>
    <row r="131" spans="1:7" x14ac:dyDescent="0.25">
      <c r="A131" s="1"/>
      <c r="B131" s="1"/>
      <c r="C131" s="1"/>
      <c r="D131" s="1"/>
      <c r="E131" s="1"/>
    </row>
    <row r="132" spans="1:7" ht="15.75" thickBot="1" x14ac:dyDescent="0.3">
      <c r="A132" s="1" t="s">
        <v>198</v>
      </c>
      <c r="C132" s="1"/>
      <c r="D132" s="1"/>
      <c r="E132" s="1"/>
    </row>
    <row r="133" spans="1:7" ht="15.75" thickBot="1" x14ac:dyDescent="0.3">
      <c r="A133" s="150" t="s">
        <v>174</v>
      </c>
      <c r="B133" s="151" t="s">
        <v>171</v>
      </c>
      <c r="C133" s="151" t="s">
        <v>201</v>
      </c>
      <c r="D133" s="1"/>
      <c r="E133" s="1"/>
    </row>
    <row r="134" spans="1:7" x14ac:dyDescent="0.25">
      <c r="A134" s="148" t="s">
        <v>186</v>
      </c>
      <c r="B134" s="107">
        <v>0.9</v>
      </c>
      <c r="C134" s="154">
        <f>B134/(B134+B135)</f>
        <v>0.6</v>
      </c>
      <c r="D134" s="1"/>
      <c r="E134" s="1"/>
    </row>
    <row r="135" spans="1:7" ht="30" x14ac:dyDescent="0.25">
      <c r="A135" s="152" t="s">
        <v>187</v>
      </c>
      <c r="B135" s="5">
        <v>0.6</v>
      </c>
      <c r="C135" s="155">
        <f>B135/(B134+B135)</f>
        <v>0.39999999999999997</v>
      </c>
      <c r="D135" s="1"/>
      <c r="E135" s="1"/>
    </row>
    <row r="136" spans="1:7" ht="30.75" thickBot="1" x14ac:dyDescent="0.3">
      <c r="A136" s="149" t="s">
        <v>188</v>
      </c>
      <c r="B136" s="62">
        <f xml:space="preserve"> MAX(B100:D109)</f>
        <v>15.75</v>
      </c>
      <c r="C136" s="62"/>
      <c r="D136" s="1"/>
      <c r="E136" s="1"/>
    </row>
    <row r="137" spans="1:7" x14ac:dyDescent="0.25">
      <c r="A137" s="1"/>
      <c r="B137" s="1"/>
      <c r="C137" s="1"/>
      <c r="D137" s="1"/>
      <c r="E137" s="1"/>
    </row>
    <row r="139" spans="1:7" x14ac:dyDescent="0.25">
      <c r="A139" s="127" t="s">
        <v>155</v>
      </c>
    </row>
    <row r="140" spans="1:7" x14ac:dyDescent="0.25">
      <c r="A140" s="122" t="s">
        <v>25</v>
      </c>
      <c r="B140" s="124">
        <f>1-ABS(B113-B113)</f>
        <v>1</v>
      </c>
      <c r="C140" s="124">
        <f>1-ABS(B113-C113)</f>
        <v>0.89047619047619053</v>
      </c>
      <c r="D140" s="124">
        <f>1-ABS(B113-D113)</f>
        <v>0.8396825396825397</v>
      </c>
      <c r="E140" s="163"/>
      <c r="F140" s="163"/>
      <c r="G140" s="163"/>
    </row>
    <row r="141" spans="1:7" x14ac:dyDescent="0.25">
      <c r="B141" s="124">
        <f>1-ABS(C113-B113)</f>
        <v>0.89047619047619053</v>
      </c>
      <c r="C141" s="124">
        <f>1-ABS(C113-C113)</f>
        <v>1</v>
      </c>
      <c r="D141" s="124">
        <f>1-ABS(D113-C113)</f>
        <v>0.94920634920634916</v>
      </c>
      <c r="E141" s="163"/>
      <c r="F141" s="163"/>
      <c r="G141" s="163"/>
    </row>
    <row r="142" spans="1:7" x14ac:dyDescent="0.25">
      <c r="B142" s="124">
        <f>1-ABS(D113-B113)</f>
        <v>0.8396825396825397</v>
      </c>
      <c r="C142" s="124">
        <f>1-ABS(D113-C113)</f>
        <v>0.94920634920634916</v>
      </c>
      <c r="D142" s="124">
        <f>1-ABS(D113-D113)</f>
        <v>1</v>
      </c>
      <c r="E142" s="163"/>
      <c r="F142" s="163"/>
      <c r="G142" s="163"/>
    </row>
    <row r="143" spans="1:7" x14ac:dyDescent="0.25">
      <c r="E143" s="163"/>
      <c r="F143" s="163"/>
      <c r="G143" s="163"/>
    </row>
    <row r="144" spans="1:7" x14ac:dyDescent="0.25">
      <c r="A144" s="122" t="s">
        <v>14</v>
      </c>
      <c r="B144" s="124">
        <f>1-ABS(B114-B114)</f>
        <v>1</v>
      </c>
      <c r="C144" s="124">
        <f>1-ABS(B114-C114)</f>
        <v>0.89523809523809517</v>
      </c>
      <c r="D144" s="124">
        <f>1-ABS(B114-D114)</f>
        <v>0.94761904761904758</v>
      </c>
      <c r="E144" s="163"/>
      <c r="F144" s="163"/>
      <c r="G144" s="163"/>
    </row>
    <row r="145" spans="1:7" x14ac:dyDescent="0.25">
      <c r="B145" s="124">
        <f>1-ABS(C114-B114)</f>
        <v>0.89523809523809517</v>
      </c>
      <c r="C145" s="124">
        <f>1-ABS(C114-C114)</f>
        <v>1</v>
      </c>
      <c r="D145" s="124">
        <f>1-ABS(D114-C114)</f>
        <v>0.84285714285714286</v>
      </c>
      <c r="E145" s="163"/>
      <c r="F145" s="163"/>
      <c r="G145" s="163"/>
    </row>
    <row r="146" spans="1:7" x14ac:dyDescent="0.25">
      <c r="B146" s="124">
        <f>1-ABS(D114-B114)</f>
        <v>0.94761904761904758</v>
      </c>
      <c r="C146" s="124">
        <f>1-ABS(D114-C114)</f>
        <v>0.84285714285714286</v>
      </c>
      <c r="D146" s="124">
        <f>1-ABS(D114-D114)</f>
        <v>1</v>
      </c>
      <c r="E146" s="163"/>
      <c r="F146" s="163"/>
      <c r="G146" s="163"/>
    </row>
    <row r="147" spans="1:7" x14ac:dyDescent="0.25">
      <c r="E147" s="163"/>
      <c r="F147" s="163"/>
      <c r="G147" s="163"/>
    </row>
    <row r="148" spans="1:7" x14ac:dyDescent="0.25">
      <c r="A148" s="122" t="s">
        <v>15</v>
      </c>
      <c r="B148" s="124">
        <f>1-ABS(B115-B115)</f>
        <v>1</v>
      </c>
      <c r="C148" s="124">
        <f>1-ABS(B115-C115)</f>
        <v>0.62857142857142856</v>
      </c>
      <c r="D148" s="124">
        <f>1-ABS(B115-D115)</f>
        <v>0.892063492063492</v>
      </c>
      <c r="E148" s="163"/>
      <c r="F148" s="163"/>
      <c r="G148" s="163"/>
    </row>
    <row r="149" spans="1:7" x14ac:dyDescent="0.25">
      <c r="B149" s="124">
        <f>1-ABS(C115-B115)</f>
        <v>0.62857142857142856</v>
      </c>
      <c r="C149" s="124">
        <f>1-ABS(C115-C115)</f>
        <v>1</v>
      </c>
      <c r="D149" s="124">
        <f>1-ABS(D115-C115)</f>
        <v>0.73650793650793656</v>
      </c>
      <c r="E149" s="163"/>
      <c r="F149" s="163"/>
      <c r="G149" s="163"/>
    </row>
    <row r="150" spans="1:7" x14ac:dyDescent="0.25">
      <c r="B150" s="124">
        <f>1-ABS(D115-B115)</f>
        <v>0.892063492063492</v>
      </c>
      <c r="C150" s="124">
        <f>1-ABS(D115-C115)</f>
        <v>0.73650793650793656</v>
      </c>
      <c r="D150" s="124">
        <f>1-ABS(D115-D115)</f>
        <v>1</v>
      </c>
      <c r="E150" s="163"/>
      <c r="F150" s="163"/>
      <c r="G150" s="163"/>
    </row>
    <row r="151" spans="1:7" x14ac:dyDescent="0.25">
      <c r="E151" s="163"/>
      <c r="F151" s="163"/>
      <c r="G151" s="163"/>
    </row>
    <row r="152" spans="1:7" x14ac:dyDescent="0.25">
      <c r="A152" s="122" t="s">
        <v>16</v>
      </c>
      <c r="B152" s="124">
        <f>1-ABS(B116-B116)</f>
        <v>1</v>
      </c>
      <c r="C152" s="124">
        <f>1-ABS(B116-C116)</f>
        <v>0.89523809523809539</v>
      </c>
      <c r="D152" s="124">
        <f>1-ABS(B116-D116)</f>
        <v>0.73492063492063486</v>
      </c>
      <c r="E152" s="163"/>
      <c r="F152" s="163"/>
      <c r="G152" s="163"/>
    </row>
    <row r="153" spans="1:7" x14ac:dyDescent="0.25">
      <c r="B153" s="124">
        <f>1-ABS(C116-B116)</f>
        <v>0.89523809523809539</v>
      </c>
      <c r="C153" s="124">
        <f>1-ABS(C116-C116)</f>
        <v>1</v>
      </c>
      <c r="D153" s="124">
        <f>1-ABS(D116-C116)</f>
        <v>0.63015873015873025</v>
      </c>
      <c r="E153" s="163"/>
      <c r="F153" s="163"/>
      <c r="G153" s="163"/>
    </row>
    <row r="154" spans="1:7" x14ac:dyDescent="0.25">
      <c r="B154" s="124">
        <f>1-ABS(D116-B116)</f>
        <v>0.73492063492063486</v>
      </c>
      <c r="C154" s="124">
        <f>1-ABS(D116-C116)</f>
        <v>0.63015873015873025</v>
      </c>
      <c r="D154" s="124">
        <f>1-ABS(D116-D116)</f>
        <v>1</v>
      </c>
      <c r="E154" s="163"/>
      <c r="F154" s="163"/>
      <c r="G154" s="163"/>
    </row>
    <row r="155" spans="1:7" x14ac:dyDescent="0.25">
      <c r="E155" s="163"/>
      <c r="F155" s="163"/>
      <c r="G155" s="163"/>
    </row>
    <row r="156" spans="1:7" x14ac:dyDescent="0.25">
      <c r="A156" s="122" t="s">
        <v>18</v>
      </c>
      <c r="B156" s="124">
        <f>1-ABS(B117-B117)</f>
        <v>1</v>
      </c>
      <c r="C156" s="124">
        <f>1-ABS(B117-C117)</f>
        <v>0.68253968253968256</v>
      </c>
      <c r="D156" s="124">
        <f>1-ABS(B117-D117)</f>
        <v>0.89682539682539686</v>
      </c>
      <c r="E156" s="163"/>
      <c r="F156" s="163"/>
      <c r="G156" s="163"/>
    </row>
    <row r="157" spans="1:7" x14ac:dyDescent="0.25">
      <c r="B157" s="124">
        <f>1-ABS(C117-B117)</f>
        <v>0.68253968253968256</v>
      </c>
      <c r="C157" s="124">
        <f>1-ABS(C117-C117)</f>
        <v>1</v>
      </c>
      <c r="D157" s="124">
        <f>1-ABS(D117-C117)</f>
        <v>0.57936507936507942</v>
      </c>
      <c r="E157" s="163"/>
      <c r="F157" s="163"/>
      <c r="G157" s="163"/>
    </row>
    <row r="158" spans="1:7" x14ac:dyDescent="0.25">
      <c r="B158" s="124">
        <f>1-ABS(D117-B117)</f>
        <v>0.89682539682539686</v>
      </c>
      <c r="C158" s="124">
        <f>1-ABS(D117-C117)</f>
        <v>0.57936507936507942</v>
      </c>
      <c r="D158" s="124">
        <f>1-ABS(D117-D117)</f>
        <v>1</v>
      </c>
      <c r="E158" s="163"/>
      <c r="F158" s="163"/>
      <c r="G158" s="163"/>
    </row>
    <row r="159" spans="1:7" x14ac:dyDescent="0.25">
      <c r="E159" s="163"/>
      <c r="F159" s="163"/>
      <c r="G159" s="163"/>
    </row>
    <row r="160" spans="1:7" x14ac:dyDescent="0.25">
      <c r="A160" s="122" t="s">
        <v>19</v>
      </c>
      <c r="B160" s="124">
        <f>1-ABS(B118-B118)</f>
        <v>1</v>
      </c>
      <c r="C160" s="124">
        <f>1-ABS(B118-C118)</f>
        <v>0.79047619047619055</v>
      </c>
      <c r="D160" s="124">
        <f>1-ABS(B118-D118)</f>
        <v>0.73333333333333328</v>
      </c>
      <c r="E160" s="163"/>
      <c r="F160" s="163"/>
      <c r="G160" s="163"/>
    </row>
    <row r="161" spans="1:7" x14ac:dyDescent="0.25">
      <c r="B161" s="124">
        <f>1-ABS(C118-B118)</f>
        <v>0.79047619047619055</v>
      </c>
      <c r="C161" s="124">
        <f>1-ABS(C118-C118)</f>
        <v>1</v>
      </c>
      <c r="D161" s="124">
        <f>1-ABS(D118-C118)</f>
        <v>0.52380952380952384</v>
      </c>
      <c r="E161" s="163"/>
      <c r="F161" s="163"/>
      <c r="G161" s="163"/>
    </row>
    <row r="162" spans="1:7" x14ac:dyDescent="0.25">
      <c r="B162" s="124">
        <f>1-ABS(D118-B118)</f>
        <v>0.73333333333333328</v>
      </c>
      <c r="C162" s="124">
        <f>1-ABS(D118-C118)</f>
        <v>0.52380952380952384</v>
      </c>
      <c r="D162" s="124">
        <f>1-ABS(D118-D118)</f>
        <v>1</v>
      </c>
      <c r="E162" s="163"/>
      <c r="F162" s="163"/>
      <c r="G162" s="163"/>
    </row>
    <row r="163" spans="1:7" x14ac:dyDescent="0.25">
      <c r="E163" s="163"/>
      <c r="F163" s="163"/>
      <c r="G163" s="163"/>
    </row>
    <row r="164" spans="1:7" x14ac:dyDescent="0.25">
      <c r="A164" s="122" t="s">
        <v>20</v>
      </c>
      <c r="B164" s="124">
        <f>1-ABS(B119-B119)</f>
        <v>1</v>
      </c>
      <c r="C164" s="124">
        <f>1-ABS(B119-C119)</f>
        <v>0.79047619047619055</v>
      </c>
      <c r="D164" s="124">
        <f>1-ABS(B119-D119)</f>
        <v>0.8396825396825397</v>
      </c>
      <c r="E164" s="163"/>
      <c r="F164" s="163"/>
      <c r="G164" s="163"/>
    </row>
    <row r="165" spans="1:7" x14ac:dyDescent="0.25">
      <c r="B165" s="124">
        <f>1-ABS(C119-B119)</f>
        <v>0.79047619047619055</v>
      </c>
      <c r="C165" s="124">
        <f>1-ABS(C119-C119)</f>
        <v>1</v>
      </c>
      <c r="D165" s="124">
        <f>1-ABS(D119-C119)</f>
        <v>0.63015873015873025</v>
      </c>
      <c r="E165" s="163"/>
      <c r="F165" s="163"/>
      <c r="G165" s="163"/>
    </row>
    <row r="166" spans="1:7" x14ac:dyDescent="0.25">
      <c r="B166" s="124">
        <f>1-ABS(D119-B119)</f>
        <v>0.8396825396825397</v>
      </c>
      <c r="C166" s="124">
        <f>1-ABS(D119-C119)</f>
        <v>0.63015873015873025</v>
      </c>
      <c r="D166" s="124">
        <f>1-ABS(D119-D119)</f>
        <v>1</v>
      </c>
      <c r="E166" s="163"/>
      <c r="F166" s="163"/>
      <c r="G166" s="163"/>
    </row>
    <row r="167" spans="1:7" x14ac:dyDescent="0.25">
      <c r="E167" s="163"/>
      <c r="F167" s="163"/>
      <c r="G167" s="163"/>
    </row>
    <row r="168" spans="1:7" x14ac:dyDescent="0.25">
      <c r="A168" s="122" t="s">
        <v>21</v>
      </c>
      <c r="B168" s="124">
        <f>1-ABS(B120-B120)</f>
        <v>1</v>
      </c>
      <c r="C168" s="124">
        <f>1-ABS(B120-C120)</f>
        <v>0.99841269841269853</v>
      </c>
      <c r="D168" s="124">
        <f>1-ABS(B120-D120)</f>
        <v>0.89523809523809528</v>
      </c>
      <c r="E168" s="163"/>
      <c r="F168" s="163"/>
      <c r="G168" s="163"/>
    </row>
    <row r="169" spans="1:7" x14ac:dyDescent="0.25">
      <c r="B169" s="124">
        <f>1-ABS(C120-B120)</f>
        <v>0.99841269841269853</v>
      </c>
      <c r="C169" s="124">
        <f>1-ABS(C120-C120)</f>
        <v>1</v>
      </c>
      <c r="D169" s="124">
        <f>1-ABS(D120-C120)</f>
        <v>0.89682539682539675</v>
      </c>
      <c r="E169" s="163"/>
      <c r="F169" s="163"/>
      <c r="G169" s="163"/>
    </row>
    <row r="170" spans="1:7" x14ac:dyDescent="0.25">
      <c r="B170" s="124">
        <f>1-ABS(D120-B120)</f>
        <v>0.89523809523809528</v>
      </c>
      <c r="C170" s="124">
        <f>1-ABS(D120-C120)</f>
        <v>0.89682539682539675</v>
      </c>
      <c r="D170" s="124">
        <f>1-ABS(D120-D120)</f>
        <v>1</v>
      </c>
      <c r="E170" s="163"/>
      <c r="F170" s="163"/>
      <c r="G170" s="163"/>
    </row>
    <row r="171" spans="1:7" x14ac:dyDescent="0.25">
      <c r="E171" s="163"/>
      <c r="F171" s="163"/>
      <c r="G171" s="163"/>
    </row>
    <row r="172" spans="1:7" x14ac:dyDescent="0.25">
      <c r="A172" s="122" t="s">
        <v>23</v>
      </c>
      <c r="B172" s="124">
        <f>1-ABS(B121-B121)</f>
        <v>1</v>
      </c>
      <c r="C172" s="124">
        <f>1-ABS(B121-C121)</f>
        <v>0.8396825396825397</v>
      </c>
      <c r="D172" s="124">
        <f>1-ABS(B121-D121)</f>
        <v>0.89682539682539686</v>
      </c>
      <c r="E172" s="163"/>
      <c r="F172" s="163"/>
      <c r="G172" s="163"/>
    </row>
    <row r="173" spans="1:7" x14ac:dyDescent="0.25">
      <c r="B173" s="124">
        <f>1-ABS(C121-B121)</f>
        <v>0.8396825396825397</v>
      </c>
      <c r="C173" s="124">
        <f>1-ABS(C121-C121)</f>
        <v>1</v>
      </c>
      <c r="D173" s="124">
        <f>1-ABS(D121-C121)</f>
        <v>0.73650793650793656</v>
      </c>
      <c r="E173" s="163"/>
      <c r="F173" s="163"/>
      <c r="G173" s="163"/>
    </row>
    <row r="174" spans="1:7" x14ac:dyDescent="0.25">
      <c r="B174" s="124">
        <f>1-ABS(D121-B121)</f>
        <v>0.89682539682539686</v>
      </c>
      <c r="C174" s="124">
        <f>1-ABS(D121-C121)</f>
        <v>0.73650793650793656</v>
      </c>
      <c r="D174" s="124">
        <f>1-ABS(D121-D121)</f>
        <v>1</v>
      </c>
      <c r="E174" s="163"/>
      <c r="F174" s="163"/>
      <c r="G174" s="163"/>
    </row>
    <row r="175" spans="1:7" x14ac:dyDescent="0.25">
      <c r="E175" s="163"/>
      <c r="F175" s="163"/>
      <c r="G175" s="163"/>
    </row>
    <row r="176" spans="1:7" x14ac:dyDescent="0.25">
      <c r="A176" s="122" t="s">
        <v>24</v>
      </c>
      <c r="B176" s="124">
        <f>1-ABS(B122-B122)</f>
        <v>1</v>
      </c>
      <c r="C176" s="124">
        <f>1-ABS(B122-C122)</f>
        <v>0.68253968253968256</v>
      </c>
      <c r="D176" s="124">
        <f>1-ABS(B122-D122)</f>
        <v>0.84126984126984128</v>
      </c>
      <c r="E176" s="163"/>
      <c r="F176" s="163"/>
      <c r="G176" s="163"/>
    </row>
    <row r="177" spans="1:7" x14ac:dyDescent="0.25">
      <c r="B177" s="124">
        <f>1-ABS(C122-B122)</f>
        <v>0.68253968253968256</v>
      </c>
      <c r="C177" s="124">
        <f>1-ABS(C122-C122)</f>
        <v>1</v>
      </c>
      <c r="D177" s="124">
        <f>1-ABS(D122-C122)</f>
        <v>0.84126984126984128</v>
      </c>
      <c r="E177" s="163"/>
      <c r="F177" s="163"/>
      <c r="G177" s="163"/>
    </row>
    <row r="178" spans="1:7" x14ac:dyDescent="0.25">
      <c r="B178" s="124">
        <f>1-ABS(D122-B122)</f>
        <v>0.84126984126984128</v>
      </c>
      <c r="C178" s="124">
        <f>1-ABS(D122-C122)</f>
        <v>0.84126984126984128</v>
      </c>
      <c r="D178" s="124">
        <f>1-ABS(D122-D122)</f>
        <v>1</v>
      </c>
      <c r="E178" s="163"/>
      <c r="F178" s="163"/>
      <c r="G178" s="163"/>
    </row>
    <row r="180" spans="1:7" x14ac:dyDescent="0.25">
      <c r="A180" s="1" t="s">
        <v>163</v>
      </c>
    </row>
    <row r="181" spans="1:7" x14ac:dyDescent="0.25">
      <c r="A181" s="86" t="s">
        <v>113</v>
      </c>
      <c r="B181" s="3" t="s">
        <v>107</v>
      </c>
      <c r="C181" s="3" t="s">
        <v>108</v>
      </c>
      <c r="D181" s="3" t="s">
        <v>134</v>
      </c>
    </row>
    <row r="182" spans="1:7" x14ac:dyDescent="0.25">
      <c r="A182" s="41" t="s">
        <v>25</v>
      </c>
      <c r="B182" s="123">
        <f>(C140+D140)/2</f>
        <v>0.86507936507936511</v>
      </c>
      <c r="C182" s="123">
        <f>(B141+D141)/2</f>
        <v>0.9198412698412699</v>
      </c>
      <c r="D182" s="123">
        <f>(B142+C142)/2</f>
        <v>0.89444444444444438</v>
      </c>
      <c r="E182" s="128"/>
      <c r="F182" s="128"/>
      <c r="G182" s="128"/>
    </row>
    <row r="183" spans="1:7" x14ac:dyDescent="0.25">
      <c r="A183" s="41" t="s">
        <v>14</v>
      </c>
      <c r="B183" s="123">
        <f>(C144+D144)/2</f>
        <v>0.92142857142857137</v>
      </c>
      <c r="C183" s="123">
        <f>(B145+D145)/2</f>
        <v>0.86904761904761907</v>
      </c>
      <c r="D183" s="123">
        <f>(B146+C146)/2</f>
        <v>0.89523809523809517</v>
      </c>
      <c r="E183" s="128"/>
      <c r="F183" s="128"/>
      <c r="G183" s="128"/>
    </row>
    <row r="184" spans="1:7" x14ac:dyDescent="0.25">
      <c r="A184" s="41" t="s">
        <v>15</v>
      </c>
      <c r="B184" s="123">
        <f>(C148+D148)/2</f>
        <v>0.76031746031746028</v>
      </c>
      <c r="C184" s="123">
        <f>(B149+D149)/2</f>
        <v>0.68253968253968256</v>
      </c>
      <c r="D184" s="123">
        <f>(B150+C150)/2</f>
        <v>0.81428571428571428</v>
      </c>
      <c r="E184" s="128"/>
      <c r="F184" s="128"/>
      <c r="G184" s="128"/>
    </row>
    <row r="185" spans="1:7" x14ac:dyDescent="0.25">
      <c r="A185" s="41" t="s">
        <v>16</v>
      </c>
      <c r="B185" s="123">
        <f>(C152+D152)/2</f>
        <v>0.81507936507936507</v>
      </c>
      <c r="C185" s="123">
        <f>(B153+D153)/2</f>
        <v>0.76269841269841288</v>
      </c>
      <c r="D185" s="123">
        <f>(B154+C154)/2</f>
        <v>0.68253968253968256</v>
      </c>
      <c r="E185" s="128"/>
      <c r="F185" s="128"/>
      <c r="G185" s="128"/>
    </row>
    <row r="186" spans="1:7" x14ac:dyDescent="0.25">
      <c r="A186" s="41" t="s">
        <v>18</v>
      </c>
      <c r="B186" s="123">
        <f>(C156+D156)/2</f>
        <v>0.78968253968253976</v>
      </c>
      <c r="C186" s="123">
        <f>(B157+D157)/2</f>
        <v>0.63095238095238093</v>
      </c>
      <c r="D186" s="123">
        <f>(B158+C158)/2</f>
        <v>0.73809523809523814</v>
      </c>
      <c r="E186" s="128"/>
      <c r="F186" s="128"/>
      <c r="G186" s="128"/>
    </row>
    <row r="187" spans="1:7" x14ac:dyDescent="0.25">
      <c r="A187" s="41" t="s">
        <v>19</v>
      </c>
      <c r="B187" s="123">
        <f>(C160+D160)/2</f>
        <v>0.76190476190476186</v>
      </c>
      <c r="C187" s="123">
        <f>(B161+D161)/2</f>
        <v>0.65714285714285725</v>
      </c>
      <c r="D187" s="123">
        <f>(B162+C162)/2</f>
        <v>0.62857142857142856</v>
      </c>
      <c r="E187" s="128"/>
      <c r="F187" s="128"/>
      <c r="G187" s="128"/>
    </row>
    <row r="188" spans="1:7" x14ac:dyDescent="0.25">
      <c r="A188" s="41" t="s">
        <v>20</v>
      </c>
      <c r="B188" s="123">
        <f>(C164+D164)/2</f>
        <v>0.81507936507936507</v>
      </c>
      <c r="C188" s="123">
        <f>(B165+D165)/2</f>
        <v>0.71031746031746046</v>
      </c>
      <c r="D188" s="123">
        <f>(B166+C166)/2</f>
        <v>0.73492063492063497</v>
      </c>
      <c r="E188" s="128"/>
      <c r="F188" s="128"/>
      <c r="G188" s="128"/>
    </row>
    <row r="189" spans="1:7" x14ac:dyDescent="0.25">
      <c r="A189" s="41" t="s">
        <v>21</v>
      </c>
      <c r="B189" s="123">
        <f>(C168+D168)/2</f>
        <v>0.9468253968253969</v>
      </c>
      <c r="C189" s="123">
        <f>(B169+D169)/2</f>
        <v>0.94761904761904758</v>
      </c>
      <c r="D189" s="123">
        <f>(B170+C170)/2</f>
        <v>0.89603174603174596</v>
      </c>
      <c r="E189" s="128"/>
      <c r="F189" s="128"/>
      <c r="G189" s="128"/>
    </row>
    <row r="190" spans="1:7" x14ac:dyDescent="0.25">
      <c r="A190" s="41" t="s">
        <v>23</v>
      </c>
      <c r="B190" s="123">
        <f>(C172+D172)/2</f>
        <v>0.86825396825396828</v>
      </c>
      <c r="C190" s="123">
        <f>(B173+D173)/2</f>
        <v>0.78809523809523818</v>
      </c>
      <c r="D190" s="123">
        <f>(B174+C174)/2</f>
        <v>0.81666666666666665</v>
      </c>
      <c r="E190" s="128"/>
      <c r="F190" s="128"/>
      <c r="G190" s="128"/>
    </row>
    <row r="191" spans="1:7" x14ac:dyDescent="0.25">
      <c r="A191" s="41" t="s">
        <v>24</v>
      </c>
      <c r="B191" s="123">
        <f>(C176+D176)/2</f>
        <v>0.76190476190476186</v>
      </c>
      <c r="C191" s="123">
        <f>(B177+D177)/2</f>
        <v>0.76190476190476186</v>
      </c>
      <c r="D191" s="123">
        <f>(B178+C178)/2</f>
        <v>0.84126984126984128</v>
      </c>
      <c r="E191" s="128"/>
      <c r="F191" s="128"/>
      <c r="G191" s="128"/>
    </row>
    <row r="193" spans="1:8" x14ac:dyDescent="0.25">
      <c r="A193" s="1" t="s">
        <v>199</v>
      </c>
    </row>
    <row r="194" spans="1:8" x14ac:dyDescent="0.25">
      <c r="A194" s="86" t="s">
        <v>113</v>
      </c>
      <c r="B194" s="3" t="s">
        <v>107</v>
      </c>
      <c r="C194" s="3" t="s">
        <v>108</v>
      </c>
      <c r="D194" s="3" t="s">
        <v>134</v>
      </c>
      <c r="E194" s="126" t="s">
        <v>159</v>
      </c>
    </row>
    <row r="195" spans="1:8" x14ac:dyDescent="0.25">
      <c r="A195" s="41" t="s">
        <v>25</v>
      </c>
      <c r="B195" s="123">
        <f>B182/SUM($B182:$D182)</f>
        <v>0.32286729857819901</v>
      </c>
      <c r="C195" s="123">
        <f>C182/SUM($B182:$D182)</f>
        <v>0.34330568720379145</v>
      </c>
      <c r="D195" s="123">
        <f t="shared" ref="D195" si="17">D182/SUM($B182:$D182)</f>
        <v>0.33382701421800942</v>
      </c>
      <c r="E195" s="125">
        <f>SUM(B195:D195)</f>
        <v>0.99999999999999989</v>
      </c>
      <c r="F195" s="128"/>
      <c r="G195" s="128"/>
      <c r="H195" s="128"/>
    </row>
    <row r="196" spans="1:8" x14ac:dyDescent="0.25">
      <c r="A196" s="41" t="s">
        <v>14</v>
      </c>
      <c r="B196" s="123">
        <f t="shared" ref="B196:D204" si="18">B183/SUM($B183:$D183)</f>
        <v>0.34308510638297873</v>
      </c>
      <c r="C196" s="123">
        <f t="shared" si="18"/>
        <v>0.32358156028368795</v>
      </c>
      <c r="D196" s="123">
        <f t="shared" si="18"/>
        <v>0.33333333333333331</v>
      </c>
      <c r="E196" s="125">
        <f t="shared" ref="E196:E204" si="19">SUM(B196:D196)</f>
        <v>1</v>
      </c>
      <c r="F196" s="128"/>
      <c r="G196" s="128"/>
      <c r="H196" s="128"/>
    </row>
    <row r="197" spans="1:8" x14ac:dyDescent="0.25">
      <c r="A197" s="41" t="s">
        <v>15</v>
      </c>
      <c r="B197" s="123">
        <f t="shared" si="18"/>
        <v>0.3368495077355837</v>
      </c>
      <c r="C197" s="123">
        <f t="shared" si="18"/>
        <v>0.30239099859353025</v>
      </c>
      <c r="D197" s="123">
        <f t="shared" si="18"/>
        <v>0.36075949367088606</v>
      </c>
      <c r="E197" s="125">
        <f t="shared" si="19"/>
        <v>1</v>
      </c>
      <c r="F197" s="128"/>
      <c r="G197" s="128"/>
      <c r="H197" s="128"/>
    </row>
    <row r="198" spans="1:8" x14ac:dyDescent="0.25">
      <c r="A198" s="41" t="s">
        <v>16</v>
      </c>
      <c r="B198" s="123">
        <f t="shared" si="18"/>
        <v>0.36060393258426965</v>
      </c>
      <c r="C198" s="123">
        <f t="shared" si="18"/>
        <v>0.33742977528089896</v>
      </c>
      <c r="D198" s="123">
        <f t="shared" si="18"/>
        <v>0.30196629213483145</v>
      </c>
      <c r="E198" s="125">
        <f t="shared" si="19"/>
        <v>1</v>
      </c>
      <c r="F198" s="128"/>
      <c r="G198" s="128"/>
      <c r="H198" s="128"/>
    </row>
    <row r="199" spans="1:8" x14ac:dyDescent="0.25">
      <c r="A199" s="41" t="s">
        <v>18</v>
      </c>
      <c r="B199" s="123">
        <f t="shared" si="18"/>
        <v>0.36580882352941174</v>
      </c>
      <c r="C199" s="123">
        <f t="shared" si="18"/>
        <v>0.29227941176470584</v>
      </c>
      <c r="D199" s="123">
        <f t="shared" si="18"/>
        <v>0.3419117647058823</v>
      </c>
      <c r="E199" s="125">
        <f t="shared" si="19"/>
        <v>0.99999999999999978</v>
      </c>
      <c r="F199" s="128"/>
      <c r="G199" s="128"/>
      <c r="H199" s="128"/>
    </row>
    <row r="200" spans="1:8" x14ac:dyDescent="0.25">
      <c r="A200" s="41" t="s">
        <v>19</v>
      </c>
      <c r="B200" s="123">
        <f t="shared" si="18"/>
        <v>0.37209302325581395</v>
      </c>
      <c r="C200" s="123">
        <f t="shared" si="18"/>
        <v>0.32093023255813963</v>
      </c>
      <c r="D200" s="123">
        <f t="shared" si="18"/>
        <v>0.30697674418604654</v>
      </c>
      <c r="E200" s="125">
        <f t="shared" si="19"/>
        <v>1</v>
      </c>
      <c r="F200" s="128"/>
      <c r="G200" s="128"/>
      <c r="H200" s="128"/>
    </row>
    <row r="201" spans="1:8" x14ac:dyDescent="0.25">
      <c r="A201" s="41" t="s">
        <v>20</v>
      </c>
      <c r="B201" s="123">
        <f t="shared" si="18"/>
        <v>0.36060393258426965</v>
      </c>
      <c r="C201" s="123">
        <f t="shared" si="18"/>
        <v>0.31425561797752816</v>
      </c>
      <c r="D201" s="123">
        <f t="shared" si="18"/>
        <v>0.32514044943820225</v>
      </c>
      <c r="E201" s="125">
        <f t="shared" si="19"/>
        <v>1</v>
      </c>
      <c r="F201" s="128"/>
      <c r="G201" s="128"/>
      <c r="H201" s="128"/>
    </row>
    <row r="202" spans="1:8" x14ac:dyDescent="0.25">
      <c r="A202" s="41" t="s">
        <v>21</v>
      </c>
      <c r="B202" s="123">
        <f t="shared" si="18"/>
        <v>0.33930602957906719</v>
      </c>
      <c r="C202" s="123">
        <f t="shared" si="18"/>
        <v>0.33959044368600683</v>
      </c>
      <c r="D202" s="123">
        <f t="shared" si="18"/>
        <v>0.32110352673492604</v>
      </c>
      <c r="E202" s="125">
        <f t="shared" si="19"/>
        <v>1</v>
      </c>
      <c r="F202" s="128"/>
      <c r="G202" s="128"/>
      <c r="H202" s="128"/>
    </row>
    <row r="203" spans="1:8" x14ac:dyDescent="0.25">
      <c r="A203" s="41" t="s">
        <v>23</v>
      </c>
      <c r="B203" s="123">
        <f t="shared" si="18"/>
        <v>0.35109114249037227</v>
      </c>
      <c r="C203" s="123">
        <f t="shared" si="18"/>
        <v>0.31867779204107832</v>
      </c>
      <c r="D203" s="123">
        <f t="shared" si="18"/>
        <v>0.33023106546854941</v>
      </c>
      <c r="E203" s="125">
        <f t="shared" si="19"/>
        <v>1</v>
      </c>
      <c r="F203" s="128"/>
      <c r="G203" s="128"/>
      <c r="H203" s="128"/>
    </row>
    <row r="204" spans="1:8" x14ac:dyDescent="0.25">
      <c r="A204" s="41" t="s">
        <v>24</v>
      </c>
      <c r="B204" s="123">
        <f t="shared" si="18"/>
        <v>0.32214765100671139</v>
      </c>
      <c r="C204" s="123">
        <f t="shared" si="18"/>
        <v>0.32214765100671139</v>
      </c>
      <c r="D204" s="123">
        <f t="shared" si="18"/>
        <v>0.35570469798657717</v>
      </c>
      <c r="E204" s="125">
        <f t="shared" si="19"/>
        <v>1</v>
      </c>
      <c r="F204" s="128"/>
      <c r="G204" s="128"/>
      <c r="H204" s="128"/>
    </row>
    <row r="206" spans="1:8" x14ac:dyDescent="0.25">
      <c r="A206" s="1" t="s">
        <v>200</v>
      </c>
    </row>
    <row r="207" spans="1:8" x14ac:dyDescent="0.25">
      <c r="A207" s="86" t="s">
        <v>113</v>
      </c>
      <c r="B207" s="3" t="s">
        <v>107</v>
      </c>
      <c r="C207" s="3" t="s">
        <v>108</v>
      </c>
      <c r="D207" s="3" t="s">
        <v>134</v>
      </c>
      <c r="E207" s="126" t="s">
        <v>159</v>
      </c>
    </row>
    <row r="208" spans="1:8" x14ac:dyDescent="0.25">
      <c r="A208" s="41" t="s">
        <v>25</v>
      </c>
      <c r="B208" s="153">
        <f>$C$134*C$127+$C$135*B195</f>
        <v>0.30914691943127959</v>
      </c>
      <c r="C208" s="153">
        <f>$C$134*C$128+$C$135*C195</f>
        <v>0.31732227488151654</v>
      </c>
      <c r="D208" s="153">
        <f>$C$134*C$129+$C$135*D195</f>
        <v>0.37353080568720376</v>
      </c>
      <c r="E208" s="125">
        <f>SUM(B208:D208)</f>
        <v>0.99999999999999989</v>
      </c>
      <c r="F208" s="128"/>
      <c r="G208" s="128"/>
      <c r="H208" s="128"/>
    </row>
    <row r="209" spans="1:8" x14ac:dyDescent="0.25">
      <c r="A209" s="41" t="s">
        <v>14</v>
      </c>
      <c r="B209" s="153">
        <f t="shared" ref="B209:B216" si="20">$C$134*C$127+$C$135*B196</f>
        <v>0.31723404255319149</v>
      </c>
      <c r="C209" s="153">
        <f t="shared" ref="C209:C217" si="21">$C$134*C$128+$C$135*C196</f>
        <v>0.30943262411347516</v>
      </c>
      <c r="D209" s="153">
        <f t="shared" ref="D209:D217" si="22">$C$134*C$129+$C$135*D196</f>
        <v>0.37333333333333329</v>
      </c>
      <c r="E209" s="125">
        <f t="shared" ref="E209:E217" si="23">SUM(B209:D209)</f>
        <v>1</v>
      </c>
      <c r="F209" s="128"/>
      <c r="G209" s="128"/>
      <c r="H209" s="128"/>
    </row>
    <row r="210" spans="1:8" x14ac:dyDescent="0.25">
      <c r="A210" s="41" t="s">
        <v>15</v>
      </c>
      <c r="B210" s="153">
        <f t="shared" si="20"/>
        <v>0.31473980309423344</v>
      </c>
      <c r="C210" s="153">
        <f t="shared" si="21"/>
        <v>0.30095639943741209</v>
      </c>
      <c r="D210" s="153">
        <f t="shared" si="22"/>
        <v>0.38430379746835441</v>
      </c>
      <c r="E210" s="125">
        <f t="shared" si="23"/>
        <v>0.99999999999999989</v>
      </c>
      <c r="F210" s="128"/>
      <c r="G210" s="128"/>
      <c r="H210" s="128"/>
    </row>
    <row r="211" spans="1:8" x14ac:dyDescent="0.25">
      <c r="A211" s="41" t="s">
        <v>16</v>
      </c>
      <c r="B211" s="153">
        <f t="shared" si="20"/>
        <v>0.32424157303370782</v>
      </c>
      <c r="C211" s="153">
        <f t="shared" si="21"/>
        <v>0.31497191011235959</v>
      </c>
      <c r="D211" s="153">
        <f t="shared" si="22"/>
        <v>0.36078651685393259</v>
      </c>
      <c r="E211" s="125">
        <f t="shared" si="23"/>
        <v>1</v>
      </c>
      <c r="F211" s="128"/>
      <c r="G211" s="128"/>
      <c r="H211" s="128"/>
    </row>
    <row r="212" spans="1:8" x14ac:dyDescent="0.25">
      <c r="A212" s="41" t="s">
        <v>18</v>
      </c>
      <c r="B212" s="153">
        <f t="shared" si="20"/>
        <v>0.32632352941176468</v>
      </c>
      <c r="C212" s="153">
        <f t="shared" si="21"/>
        <v>0.29691176470588232</v>
      </c>
      <c r="D212" s="153">
        <f t="shared" si="22"/>
        <v>0.37676470588235289</v>
      </c>
      <c r="E212" s="125">
        <f t="shared" si="23"/>
        <v>0.99999999999999989</v>
      </c>
      <c r="F212" s="128"/>
      <c r="G212" s="128"/>
      <c r="H212" s="128"/>
    </row>
    <row r="213" spans="1:8" x14ac:dyDescent="0.25">
      <c r="A213" s="41" t="s">
        <v>19</v>
      </c>
      <c r="B213" s="153">
        <f t="shared" si="20"/>
        <v>0.32883720930232557</v>
      </c>
      <c r="C213" s="153">
        <f t="shared" si="21"/>
        <v>0.30837209302325586</v>
      </c>
      <c r="D213" s="153">
        <f t="shared" si="22"/>
        <v>0.36279069767441863</v>
      </c>
      <c r="E213" s="125">
        <f t="shared" si="23"/>
        <v>1</v>
      </c>
      <c r="F213" s="128"/>
      <c r="G213" s="128"/>
      <c r="H213" s="128"/>
    </row>
    <row r="214" spans="1:8" x14ac:dyDescent="0.25">
      <c r="A214" s="41" t="s">
        <v>20</v>
      </c>
      <c r="B214" s="153">
        <f t="shared" si="20"/>
        <v>0.32424157303370782</v>
      </c>
      <c r="C214" s="153">
        <f t="shared" si="21"/>
        <v>0.30570224719101124</v>
      </c>
      <c r="D214" s="153">
        <f t="shared" si="22"/>
        <v>0.37005617977528088</v>
      </c>
      <c r="E214" s="125">
        <f t="shared" si="23"/>
        <v>1</v>
      </c>
      <c r="F214" s="128"/>
      <c r="G214" s="128"/>
      <c r="H214" s="128"/>
    </row>
    <row r="215" spans="1:8" x14ac:dyDescent="0.25">
      <c r="A215" s="41" t="s">
        <v>21</v>
      </c>
      <c r="B215" s="153">
        <f t="shared" si="20"/>
        <v>0.31572241183162686</v>
      </c>
      <c r="C215" s="153">
        <f t="shared" si="21"/>
        <v>0.31583617747440274</v>
      </c>
      <c r="D215" s="153">
        <f t="shared" si="22"/>
        <v>0.36844141069397041</v>
      </c>
      <c r="E215" s="125">
        <f t="shared" si="23"/>
        <v>1</v>
      </c>
      <c r="F215" s="128"/>
      <c r="G215" s="128"/>
      <c r="H215" s="128"/>
    </row>
    <row r="216" spans="1:8" x14ac:dyDescent="0.25">
      <c r="A216" s="41" t="s">
        <v>23</v>
      </c>
      <c r="B216" s="153">
        <f t="shared" si="20"/>
        <v>0.32043645699614887</v>
      </c>
      <c r="C216" s="153">
        <f t="shared" si="21"/>
        <v>0.3074711168164313</v>
      </c>
      <c r="D216" s="153">
        <f t="shared" si="22"/>
        <v>0.37209242618741978</v>
      </c>
      <c r="E216" s="125">
        <f t="shared" si="23"/>
        <v>0.99999999999999989</v>
      </c>
      <c r="F216" s="128"/>
      <c r="G216" s="128"/>
      <c r="H216" s="128"/>
    </row>
    <row r="217" spans="1:8" x14ac:dyDescent="0.25">
      <c r="A217" s="41" t="s">
        <v>24</v>
      </c>
      <c r="B217" s="153">
        <f>$C$134*C$127+$C$135*B204</f>
        <v>0.30885906040268452</v>
      </c>
      <c r="C217" s="153">
        <f t="shared" si="21"/>
        <v>0.30885906040268452</v>
      </c>
      <c r="D217" s="153">
        <f t="shared" si="22"/>
        <v>0.38228187919463086</v>
      </c>
      <c r="E217" s="125">
        <f t="shared" si="23"/>
        <v>0.99999999999999989</v>
      </c>
      <c r="F217" s="128"/>
      <c r="G217" s="128"/>
      <c r="H217" s="128"/>
    </row>
    <row r="219" spans="1:8" x14ac:dyDescent="0.25">
      <c r="A219" s="1" t="s">
        <v>165</v>
      </c>
    </row>
    <row r="220" spans="1:8" x14ac:dyDescent="0.25">
      <c r="A220" s="86" t="s">
        <v>113</v>
      </c>
      <c r="B220" s="86" t="s">
        <v>114</v>
      </c>
      <c r="C220" s="86" t="s">
        <v>115</v>
      </c>
      <c r="D220" s="86" t="s">
        <v>116</v>
      </c>
    </row>
    <row r="221" spans="1:8" x14ac:dyDescent="0.25">
      <c r="A221" s="41" t="s">
        <v>25</v>
      </c>
      <c r="B221" s="2">
        <f t="shared" ref="B221:B230" si="24">J14</f>
        <v>14.15</v>
      </c>
      <c r="C221" s="2">
        <f t="shared" ref="C221:C230" si="25">J44</f>
        <v>12.425000000000001</v>
      </c>
      <c r="D221" s="2">
        <f t="shared" ref="D221:D230" si="26">J74</f>
        <v>11.625</v>
      </c>
    </row>
    <row r="222" spans="1:8" x14ac:dyDescent="0.25">
      <c r="A222" s="41" t="s">
        <v>14</v>
      </c>
      <c r="B222" s="2">
        <f t="shared" si="24"/>
        <v>6.6000000000000005</v>
      </c>
      <c r="C222" s="2">
        <f t="shared" si="25"/>
        <v>8.25</v>
      </c>
      <c r="D222" s="2">
        <f t="shared" si="26"/>
        <v>5.7750000000000004</v>
      </c>
    </row>
    <row r="223" spans="1:8" x14ac:dyDescent="0.25">
      <c r="A223" s="41" t="s">
        <v>15</v>
      </c>
      <c r="B223" s="2">
        <f t="shared" si="24"/>
        <v>9.9</v>
      </c>
      <c r="C223" s="2">
        <f t="shared" si="25"/>
        <v>15.75</v>
      </c>
      <c r="D223" s="2">
        <f t="shared" si="26"/>
        <v>11.600000000000001</v>
      </c>
    </row>
    <row r="224" spans="1:8" x14ac:dyDescent="0.25">
      <c r="A224" s="41" t="s">
        <v>16</v>
      </c>
      <c r="B224" s="2">
        <f t="shared" si="24"/>
        <v>12.450000000000001</v>
      </c>
      <c r="C224" s="2">
        <f t="shared" si="25"/>
        <v>14.1</v>
      </c>
      <c r="D224" s="2">
        <f t="shared" si="26"/>
        <v>8.2750000000000004</v>
      </c>
    </row>
    <row r="225" spans="1:5" x14ac:dyDescent="0.25">
      <c r="A225" s="41" t="s">
        <v>18</v>
      </c>
      <c r="B225" s="2">
        <f t="shared" si="24"/>
        <v>10.75</v>
      </c>
      <c r="C225" s="2">
        <f t="shared" si="25"/>
        <v>15.75</v>
      </c>
      <c r="D225" s="2">
        <f t="shared" si="26"/>
        <v>9.125</v>
      </c>
    </row>
    <row r="226" spans="1:5" x14ac:dyDescent="0.25">
      <c r="A226" s="41" t="s">
        <v>19</v>
      </c>
      <c r="B226" s="2">
        <f t="shared" si="24"/>
        <v>10.8</v>
      </c>
      <c r="C226" s="2">
        <f t="shared" si="25"/>
        <v>14.1</v>
      </c>
      <c r="D226" s="2">
        <f t="shared" si="26"/>
        <v>6.6</v>
      </c>
    </row>
    <row r="227" spans="1:5" x14ac:dyDescent="0.25">
      <c r="A227" s="41" t="s">
        <v>20</v>
      </c>
      <c r="B227" s="2">
        <f t="shared" si="24"/>
        <v>10.8</v>
      </c>
      <c r="C227" s="2">
        <f t="shared" si="25"/>
        <v>14.1</v>
      </c>
      <c r="D227" s="2">
        <f t="shared" si="26"/>
        <v>8.2750000000000004</v>
      </c>
    </row>
    <row r="228" spans="1:5" x14ac:dyDescent="0.25">
      <c r="A228" s="41" t="s">
        <v>21</v>
      </c>
      <c r="B228" s="2">
        <f t="shared" si="24"/>
        <v>12.45</v>
      </c>
      <c r="C228" s="2">
        <f t="shared" si="25"/>
        <v>12.425000000000001</v>
      </c>
      <c r="D228" s="2">
        <f t="shared" si="26"/>
        <v>10.8</v>
      </c>
    </row>
    <row r="229" spans="1:5" x14ac:dyDescent="0.25">
      <c r="A229" s="41" t="s">
        <v>23</v>
      </c>
      <c r="B229" s="2">
        <f t="shared" si="24"/>
        <v>10.75</v>
      </c>
      <c r="C229" s="2">
        <f t="shared" si="25"/>
        <v>13.275</v>
      </c>
      <c r="D229" s="2">
        <f t="shared" si="26"/>
        <v>9.125</v>
      </c>
    </row>
    <row r="230" spans="1:5" x14ac:dyDescent="0.25">
      <c r="A230" s="41" t="s">
        <v>24</v>
      </c>
      <c r="B230" s="2">
        <f t="shared" si="24"/>
        <v>8.2750000000000004</v>
      </c>
      <c r="C230" s="2">
        <f t="shared" si="25"/>
        <v>13.275</v>
      </c>
      <c r="D230" s="2">
        <f t="shared" si="26"/>
        <v>10.775</v>
      </c>
    </row>
    <row r="232" spans="1:5" x14ac:dyDescent="0.25">
      <c r="A232" s="1" t="s">
        <v>166</v>
      </c>
    </row>
    <row r="233" spans="1:5" ht="75" x14ac:dyDescent="0.25">
      <c r="A233" s="86" t="s">
        <v>113</v>
      </c>
      <c r="B233" s="86" t="s">
        <v>255</v>
      </c>
      <c r="C233" s="86" t="s">
        <v>256</v>
      </c>
      <c r="D233" s="86" t="s">
        <v>254</v>
      </c>
      <c r="E233" s="86" t="s">
        <v>167</v>
      </c>
    </row>
    <row r="234" spans="1:5" x14ac:dyDescent="0.25">
      <c r="A234" s="41" t="s">
        <v>25</v>
      </c>
      <c r="B234" s="129">
        <f>B208*B221</f>
        <v>4.3744289099526066</v>
      </c>
      <c r="C234" s="129">
        <f t="shared" ref="C234:D234" si="27">C208*C221</f>
        <v>3.9427292654028432</v>
      </c>
      <c r="D234" s="129">
        <f t="shared" si="27"/>
        <v>4.342295616113744</v>
      </c>
      <c r="E234" s="129">
        <f>B234+C234+D234</f>
        <v>12.659453791469193</v>
      </c>
    </row>
    <row r="235" spans="1:5" x14ac:dyDescent="0.25">
      <c r="A235" s="41" t="s">
        <v>14</v>
      </c>
      <c r="B235" s="129">
        <f t="shared" ref="B235:D243" si="28">B209*B222</f>
        <v>2.093744680851064</v>
      </c>
      <c r="C235" s="129">
        <f t="shared" si="28"/>
        <v>2.55281914893617</v>
      </c>
      <c r="D235" s="129">
        <f t="shared" si="28"/>
        <v>2.1559999999999997</v>
      </c>
      <c r="E235" s="129">
        <f t="shared" ref="E235:E243" si="29">B235+C235+D235</f>
        <v>6.8025638297872337</v>
      </c>
    </row>
    <row r="236" spans="1:5" x14ac:dyDescent="0.25">
      <c r="A236" s="41" t="s">
        <v>15</v>
      </c>
      <c r="B236" s="129">
        <f t="shared" si="28"/>
        <v>3.1159240506329113</v>
      </c>
      <c r="C236" s="129">
        <f t="shared" si="28"/>
        <v>4.7400632911392409</v>
      </c>
      <c r="D236" s="129">
        <f t="shared" si="28"/>
        <v>4.4579240506329114</v>
      </c>
      <c r="E236" s="129">
        <f t="shared" si="29"/>
        <v>12.313911392405064</v>
      </c>
    </row>
    <row r="237" spans="1:5" x14ac:dyDescent="0.25">
      <c r="A237" s="41" t="s">
        <v>16</v>
      </c>
      <c r="B237" s="129">
        <f t="shared" si="28"/>
        <v>4.0368075842696625</v>
      </c>
      <c r="C237" s="129">
        <f t="shared" si="28"/>
        <v>4.4411039325842703</v>
      </c>
      <c r="D237" s="129">
        <f t="shared" si="28"/>
        <v>2.9855084269662924</v>
      </c>
      <c r="E237" s="129">
        <f t="shared" si="29"/>
        <v>11.463419943820226</v>
      </c>
    </row>
    <row r="238" spans="1:5" x14ac:dyDescent="0.25">
      <c r="A238" s="41" t="s">
        <v>18</v>
      </c>
      <c r="B238" s="129">
        <f t="shared" si="28"/>
        <v>3.5079779411764704</v>
      </c>
      <c r="C238" s="129">
        <f t="shared" si="28"/>
        <v>4.6763602941176465</v>
      </c>
      <c r="D238" s="129">
        <f t="shared" si="28"/>
        <v>3.4379779411764702</v>
      </c>
      <c r="E238" s="129">
        <f t="shared" si="29"/>
        <v>11.622316176470587</v>
      </c>
    </row>
    <row r="239" spans="1:5" x14ac:dyDescent="0.25">
      <c r="A239" s="41" t="s">
        <v>19</v>
      </c>
      <c r="B239" s="129">
        <f t="shared" si="28"/>
        <v>3.5514418604651166</v>
      </c>
      <c r="C239" s="129">
        <f t="shared" si="28"/>
        <v>4.3480465116279072</v>
      </c>
      <c r="D239" s="129">
        <f t="shared" si="28"/>
        <v>2.3944186046511629</v>
      </c>
      <c r="E239" s="129">
        <f t="shared" si="29"/>
        <v>10.293906976744186</v>
      </c>
    </row>
    <row r="240" spans="1:5" x14ac:dyDescent="0.25">
      <c r="A240" s="41" t="s">
        <v>20</v>
      </c>
      <c r="B240" s="129">
        <f t="shared" si="28"/>
        <v>3.5018089887640449</v>
      </c>
      <c r="C240" s="129">
        <f t="shared" si="28"/>
        <v>4.3104016853932583</v>
      </c>
      <c r="D240" s="129">
        <f t="shared" si="28"/>
        <v>3.0622148876404496</v>
      </c>
      <c r="E240" s="129">
        <f t="shared" si="29"/>
        <v>10.874425561797752</v>
      </c>
    </row>
    <row r="241" spans="1:5" x14ac:dyDescent="0.25">
      <c r="A241" s="41" t="s">
        <v>21</v>
      </c>
      <c r="B241" s="129">
        <f t="shared" si="28"/>
        <v>3.9307440273037542</v>
      </c>
      <c r="C241" s="129">
        <f t="shared" si="28"/>
        <v>3.9242645051194542</v>
      </c>
      <c r="D241" s="129">
        <f t="shared" si="28"/>
        <v>3.9791672354948808</v>
      </c>
      <c r="E241" s="129">
        <f t="shared" si="29"/>
        <v>11.83417576791809</v>
      </c>
    </row>
    <row r="242" spans="1:5" x14ac:dyDescent="0.25">
      <c r="A242" s="41" t="s">
        <v>23</v>
      </c>
      <c r="B242" s="129">
        <f t="shared" si="28"/>
        <v>3.4446919127086004</v>
      </c>
      <c r="C242" s="129">
        <f t="shared" si="28"/>
        <v>4.0816790757381254</v>
      </c>
      <c r="D242" s="129">
        <f t="shared" si="28"/>
        <v>3.3953433889602054</v>
      </c>
      <c r="E242" s="129">
        <f t="shared" si="29"/>
        <v>10.92171437740693</v>
      </c>
    </row>
    <row r="243" spans="1:5" x14ac:dyDescent="0.25">
      <c r="A243" s="41" t="s">
        <v>24</v>
      </c>
      <c r="B243" s="129">
        <f t="shared" si="28"/>
        <v>2.5558087248322146</v>
      </c>
      <c r="C243" s="129">
        <f t="shared" si="28"/>
        <v>4.1001040268456368</v>
      </c>
      <c r="D243" s="129">
        <f t="shared" si="28"/>
        <v>4.1190872483221472</v>
      </c>
      <c r="E243" s="129">
        <f t="shared" si="29"/>
        <v>10.774999999999999</v>
      </c>
    </row>
    <row r="245" spans="1:5" x14ac:dyDescent="0.25">
      <c r="A245" s="1" t="s">
        <v>169</v>
      </c>
    </row>
    <row r="246" spans="1:5" ht="30" x14ac:dyDescent="0.25">
      <c r="A246" s="86" t="s">
        <v>113</v>
      </c>
      <c r="B246" s="86" t="s">
        <v>167</v>
      </c>
      <c r="C246" s="86" t="s">
        <v>251</v>
      </c>
      <c r="D246" s="86" t="s">
        <v>202</v>
      </c>
    </row>
    <row r="247" spans="1:5" x14ac:dyDescent="0.25">
      <c r="A247" s="41" t="s">
        <v>25</v>
      </c>
      <c r="B247" s="129">
        <v>12.659453791469193</v>
      </c>
      <c r="C247" s="129">
        <v>12.67773870234074</v>
      </c>
      <c r="D247" s="129">
        <v>12.65945379146919</v>
      </c>
    </row>
    <row r="248" spans="1:5" x14ac:dyDescent="0.25">
      <c r="A248" s="41" t="s">
        <v>15</v>
      </c>
      <c r="B248" s="129">
        <v>12.313911392405064</v>
      </c>
      <c r="C248" s="129">
        <v>12.319369394929994</v>
      </c>
      <c r="D248" s="129">
        <v>12.31391139240506</v>
      </c>
    </row>
    <row r="249" spans="1:5" x14ac:dyDescent="0.25">
      <c r="A249" s="41" t="s">
        <v>21</v>
      </c>
      <c r="B249" s="129">
        <v>11.83417576791809</v>
      </c>
      <c r="C249" s="129">
        <v>11.86352418264635</v>
      </c>
      <c r="D249" s="129">
        <v>11.83417576791809</v>
      </c>
    </row>
    <row r="250" spans="1:5" x14ac:dyDescent="0.25">
      <c r="A250" s="41" t="s">
        <v>18</v>
      </c>
      <c r="B250" s="129">
        <v>11.622316176470587</v>
      </c>
      <c r="C250" s="129">
        <v>11.656913693599162</v>
      </c>
      <c r="D250" s="129">
        <v>11.622316176470591</v>
      </c>
    </row>
    <row r="251" spans="1:5" x14ac:dyDescent="0.25">
      <c r="A251" s="41" t="s">
        <v>16</v>
      </c>
      <c r="B251" s="129">
        <v>11.463419943820226</v>
      </c>
      <c r="C251" s="129">
        <v>11.586481595460414</v>
      </c>
      <c r="D251" s="129">
        <v>11.463419943820231</v>
      </c>
    </row>
    <row r="252" spans="1:5" x14ac:dyDescent="0.25">
      <c r="A252" s="41" t="s">
        <v>23</v>
      </c>
      <c r="B252" s="129">
        <v>10.92171437740693</v>
      </c>
      <c r="C252" s="129">
        <v>10.957194855926748</v>
      </c>
      <c r="D252" s="129">
        <v>10.92171437740693</v>
      </c>
    </row>
    <row r="253" spans="1:5" x14ac:dyDescent="0.25">
      <c r="A253" s="41" t="s">
        <v>20</v>
      </c>
      <c r="B253" s="129">
        <v>10.874425561797752</v>
      </c>
      <c r="C253" s="129">
        <v>10.940344509006392</v>
      </c>
      <c r="D253" s="129">
        <v>10.87442556179775</v>
      </c>
    </row>
    <row r="254" spans="1:5" x14ac:dyDescent="0.25">
      <c r="A254" s="41" t="s">
        <v>24</v>
      </c>
      <c r="B254" s="129">
        <v>10.774999999999999</v>
      </c>
      <c r="C254" s="129">
        <v>10.78987555113917</v>
      </c>
      <c r="D254" s="129">
        <v>10.775</v>
      </c>
    </row>
    <row r="255" spans="1:5" x14ac:dyDescent="0.25">
      <c r="A255" s="41" t="s">
        <v>19</v>
      </c>
      <c r="B255" s="129">
        <v>10.293906976744186</v>
      </c>
      <c r="C255" s="129">
        <v>10.449163356822549</v>
      </c>
      <c r="D255" s="129">
        <v>10.293906976744189</v>
      </c>
    </row>
    <row r="256" spans="1:5" x14ac:dyDescent="0.25">
      <c r="A256" s="41" t="s">
        <v>14</v>
      </c>
      <c r="B256" s="129">
        <v>6.8025638297872337</v>
      </c>
      <c r="C256" s="129">
        <v>6.8145000000000007</v>
      </c>
      <c r="D256" s="129">
        <v>6.8025638297872337</v>
      </c>
    </row>
  </sheetData>
  <sortState xmlns:xlrd2="http://schemas.microsoft.com/office/spreadsheetml/2017/richdata2" ref="A247:B256">
    <sortCondition descending="1" ref="B247:B256"/>
  </sortState>
  <mergeCells count="20"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</mergeCells>
  <hyperlinks>
    <hyperlink ref="B4" r:id="rId1" xr:uid="{B6DE5B33-CCC0-4E23-8C99-4E373EBF2A4D}"/>
    <hyperlink ref="B6" r:id="rId2" xr:uid="{FEFE0259-DAAA-42AA-BFAB-2670F7F7F36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J308"/>
  <sheetViews>
    <sheetView zoomScaleNormal="100" workbookViewId="0">
      <selection activeCell="D285" sqref="D285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7" max="7" width="19.140625" customWidth="1"/>
    <col min="10" max="10" width="17.85546875" customWidth="1"/>
  </cols>
  <sheetData>
    <row r="1" spans="1:10" ht="18.75" x14ac:dyDescent="0.3">
      <c r="A1" s="204" t="s">
        <v>247</v>
      </c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46" t="s">
        <v>221</v>
      </c>
      <c r="B5" s="247"/>
      <c r="C5" s="247"/>
      <c r="D5" s="248"/>
      <c r="E5" s="248"/>
    </row>
    <row r="6" spans="1:10" ht="15.75" x14ac:dyDescent="0.25">
      <c r="A6" s="146" t="s">
        <v>181</v>
      </c>
      <c r="B6" s="147" t="s">
        <v>185</v>
      </c>
      <c r="C6" s="38"/>
    </row>
    <row r="7" spans="1:10" ht="15" customHeight="1" x14ac:dyDescent="0.25">
      <c r="A7" s="246" t="s">
        <v>220</v>
      </c>
      <c r="B7" s="247"/>
      <c r="C7" s="247"/>
      <c r="D7" s="248"/>
      <c r="E7" s="24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42" t="s">
        <v>26</v>
      </c>
      <c r="B12" s="242" t="s">
        <v>27</v>
      </c>
      <c r="C12" s="242" t="s">
        <v>28</v>
      </c>
      <c r="D12" s="242" t="s">
        <v>58</v>
      </c>
      <c r="E12" s="242"/>
      <c r="F12" s="242"/>
      <c r="G12" s="242" t="s">
        <v>59</v>
      </c>
      <c r="H12" s="242"/>
      <c r="I12" s="242"/>
      <c r="J12" s="242" t="s">
        <v>54</v>
      </c>
    </row>
    <row r="13" spans="1:10" s="36" customFormat="1" ht="18" customHeight="1" x14ac:dyDescent="0.25">
      <c r="A13" s="242"/>
      <c r="B13" s="242"/>
      <c r="C13" s="242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42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30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42" t="s">
        <v>26</v>
      </c>
      <c r="B42" s="242" t="s">
        <v>27</v>
      </c>
      <c r="C42" s="242" t="s">
        <v>28</v>
      </c>
      <c r="D42" s="242" t="s">
        <v>58</v>
      </c>
      <c r="E42" s="242"/>
      <c r="F42" s="242"/>
      <c r="G42" s="242" t="s">
        <v>59</v>
      </c>
      <c r="H42" s="242"/>
      <c r="I42" s="242"/>
      <c r="J42" s="242" t="s">
        <v>54</v>
      </c>
    </row>
    <row r="43" spans="1:10" s="36" customFormat="1" ht="18" customHeight="1" x14ac:dyDescent="0.25">
      <c r="A43" s="242"/>
      <c r="B43" s="242"/>
      <c r="C43" s="242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42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30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42" t="s">
        <v>26</v>
      </c>
      <c r="B72" s="242" t="s">
        <v>27</v>
      </c>
      <c r="C72" s="242" t="s">
        <v>28</v>
      </c>
      <c r="D72" s="242" t="s">
        <v>58</v>
      </c>
      <c r="E72" s="242"/>
      <c r="F72" s="242"/>
      <c r="G72" s="242" t="s">
        <v>59</v>
      </c>
      <c r="H72" s="242"/>
      <c r="I72" s="242"/>
      <c r="J72" s="242" t="s">
        <v>54</v>
      </c>
    </row>
    <row r="73" spans="1:10" x14ac:dyDescent="0.25">
      <c r="A73" s="242"/>
      <c r="B73" s="242"/>
      <c r="C73" s="242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42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30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8" spans="1:4" x14ac:dyDescent="0.25">
      <c r="A98" s="1" t="s">
        <v>195</v>
      </c>
    </row>
    <row r="99" spans="1:4" x14ac:dyDescent="0.25">
      <c r="A99" s="86" t="s">
        <v>113</v>
      </c>
      <c r="B99" s="86" t="s">
        <v>114</v>
      </c>
      <c r="C99" s="86" t="s">
        <v>115</v>
      </c>
      <c r="D99" s="86" t="s">
        <v>116</v>
      </c>
    </row>
    <row r="100" spans="1:4" x14ac:dyDescent="0.25">
      <c r="A100" s="41" t="s">
        <v>25</v>
      </c>
      <c r="B100" s="2">
        <f>J14</f>
        <v>14.15</v>
      </c>
      <c r="C100" s="2">
        <f>J44</f>
        <v>12.425000000000001</v>
      </c>
      <c r="D100" s="2">
        <f>J74</f>
        <v>11.625</v>
      </c>
    </row>
    <row r="101" spans="1:4" x14ac:dyDescent="0.25">
      <c r="A101" s="41" t="s">
        <v>14</v>
      </c>
      <c r="B101" s="2">
        <f t="shared" ref="B101:B109" si="10">J15</f>
        <v>6.6000000000000005</v>
      </c>
      <c r="C101" s="2">
        <f t="shared" ref="C101:C109" si="11">J45</f>
        <v>8.25</v>
      </c>
      <c r="D101" s="2">
        <f t="shared" ref="D101:D109" si="12">J75</f>
        <v>5.7750000000000004</v>
      </c>
    </row>
    <row r="102" spans="1:4" x14ac:dyDescent="0.25">
      <c r="A102" s="41" t="s">
        <v>15</v>
      </c>
      <c r="B102" s="2">
        <f t="shared" si="10"/>
        <v>9.9</v>
      </c>
      <c r="C102" s="2">
        <f t="shared" si="11"/>
        <v>15.75</v>
      </c>
      <c r="D102" s="2">
        <f t="shared" si="12"/>
        <v>11.600000000000001</v>
      </c>
    </row>
    <row r="103" spans="1:4" x14ac:dyDescent="0.25">
      <c r="A103" s="41" t="s">
        <v>16</v>
      </c>
      <c r="B103" s="2">
        <f t="shared" si="10"/>
        <v>12.450000000000001</v>
      </c>
      <c r="C103" s="2">
        <f t="shared" si="11"/>
        <v>14.1</v>
      </c>
      <c r="D103" s="2">
        <f t="shared" si="12"/>
        <v>8.2750000000000004</v>
      </c>
    </row>
    <row r="104" spans="1:4" x14ac:dyDescent="0.25">
      <c r="A104" s="41" t="s">
        <v>18</v>
      </c>
      <c r="B104" s="2">
        <f t="shared" si="10"/>
        <v>10.75</v>
      </c>
      <c r="C104" s="2">
        <f t="shared" si="11"/>
        <v>15.75</v>
      </c>
      <c r="D104" s="2">
        <f t="shared" si="12"/>
        <v>9.125</v>
      </c>
    </row>
    <row r="105" spans="1:4" x14ac:dyDescent="0.25">
      <c r="A105" s="41" t="s">
        <v>19</v>
      </c>
      <c r="B105" s="2">
        <f t="shared" si="10"/>
        <v>10.8</v>
      </c>
      <c r="C105" s="2">
        <f t="shared" si="11"/>
        <v>14.1</v>
      </c>
      <c r="D105" s="2">
        <f t="shared" si="12"/>
        <v>6.6</v>
      </c>
    </row>
    <row r="106" spans="1:4" x14ac:dyDescent="0.25">
      <c r="A106" s="41" t="s">
        <v>20</v>
      </c>
      <c r="B106" s="2">
        <f t="shared" si="10"/>
        <v>10.8</v>
      </c>
      <c r="C106" s="2">
        <f t="shared" si="11"/>
        <v>14.1</v>
      </c>
      <c r="D106" s="2">
        <f t="shared" si="12"/>
        <v>8.2750000000000004</v>
      </c>
    </row>
    <row r="107" spans="1:4" x14ac:dyDescent="0.25">
      <c r="A107" s="41" t="s">
        <v>21</v>
      </c>
      <c r="B107" s="2">
        <f t="shared" si="10"/>
        <v>12.45</v>
      </c>
      <c r="C107" s="2">
        <f t="shared" si="11"/>
        <v>12.425000000000001</v>
      </c>
      <c r="D107" s="2">
        <f t="shared" si="12"/>
        <v>10.8</v>
      </c>
    </row>
    <row r="108" spans="1:4" x14ac:dyDescent="0.25">
      <c r="A108" s="41" t="s">
        <v>23</v>
      </c>
      <c r="B108" s="2">
        <f t="shared" si="10"/>
        <v>10.75</v>
      </c>
      <c r="C108" s="2">
        <f t="shared" si="11"/>
        <v>13.275</v>
      </c>
      <c r="D108" s="2">
        <f t="shared" si="12"/>
        <v>9.125</v>
      </c>
    </row>
    <row r="109" spans="1:4" x14ac:dyDescent="0.25">
      <c r="A109" s="41" t="s">
        <v>24</v>
      </c>
      <c r="B109" s="2">
        <f t="shared" si="10"/>
        <v>8.2750000000000004</v>
      </c>
      <c r="C109" s="2">
        <f t="shared" si="11"/>
        <v>13.275</v>
      </c>
      <c r="D109" s="2">
        <f t="shared" si="12"/>
        <v>10.775</v>
      </c>
    </row>
    <row r="111" spans="1:4" x14ac:dyDescent="0.25">
      <c r="A111" s="1" t="s">
        <v>207</v>
      </c>
    </row>
    <row r="112" spans="1:4" s="36" customFormat="1" ht="45" x14ac:dyDescent="0.25">
      <c r="A112" s="86" t="s">
        <v>106</v>
      </c>
      <c r="B112" s="86" t="s">
        <v>154</v>
      </c>
      <c r="C112" s="86" t="s">
        <v>153</v>
      </c>
    </row>
    <row r="113" spans="1:7" x14ac:dyDescent="0.25">
      <c r="A113" s="2" t="s">
        <v>107</v>
      </c>
      <c r="B113" s="2">
        <v>0.75</v>
      </c>
      <c r="C113" s="2">
        <f t="shared" ref="C113:C115" si="13">B113/B$116</f>
        <v>0.3</v>
      </c>
    </row>
    <row r="114" spans="1:7" x14ac:dyDescent="0.25">
      <c r="A114" s="2" t="s">
        <v>108</v>
      </c>
      <c r="B114" s="2">
        <v>0.75</v>
      </c>
      <c r="C114" s="2">
        <f t="shared" si="13"/>
        <v>0.3</v>
      </c>
    </row>
    <row r="115" spans="1:7" x14ac:dyDescent="0.25">
      <c r="A115" s="2" t="s">
        <v>134</v>
      </c>
      <c r="B115" s="2">
        <v>1</v>
      </c>
      <c r="C115" s="2">
        <f t="shared" si="13"/>
        <v>0.4</v>
      </c>
    </row>
    <row r="116" spans="1:7" x14ac:dyDescent="0.25">
      <c r="A116" s="3" t="s">
        <v>152</v>
      </c>
      <c r="B116" s="3">
        <f t="shared" ref="B116:C116" si="14">SUM(B113:B115)</f>
        <v>2.5</v>
      </c>
      <c r="C116" s="3">
        <f t="shared" si="14"/>
        <v>1</v>
      </c>
    </row>
    <row r="117" spans="1:7" x14ac:dyDescent="0.25">
      <c r="A117" s="1"/>
      <c r="B117" s="1"/>
      <c r="C117" s="1"/>
      <c r="D117" s="1"/>
      <c r="E117" s="1"/>
    </row>
    <row r="118" spans="1:7" ht="15.75" thickBot="1" x14ac:dyDescent="0.3">
      <c r="A118" s="1" t="s">
        <v>170</v>
      </c>
      <c r="C118" s="1"/>
      <c r="D118" s="1"/>
      <c r="E118" s="1"/>
    </row>
    <row r="119" spans="1:7" x14ac:dyDescent="0.25">
      <c r="A119" s="150" t="s">
        <v>174</v>
      </c>
      <c r="B119" s="151" t="s">
        <v>171</v>
      </c>
      <c r="C119" s="1"/>
      <c r="D119" s="1"/>
      <c r="E119" s="1"/>
    </row>
    <row r="120" spans="1:7" ht="15.75" thickBot="1" x14ac:dyDescent="0.3">
      <c r="A120" s="131" t="s">
        <v>204</v>
      </c>
      <c r="B120" s="62">
        <v>0.4</v>
      </c>
      <c r="C120" s="1"/>
      <c r="D120" s="1"/>
      <c r="E120" s="1"/>
    </row>
    <row r="122" spans="1:7" x14ac:dyDescent="0.25">
      <c r="A122" s="166" t="s">
        <v>208</v>
      </c>
    </row>
    <row r="123" spans="1:7" x14ac:dyDescent="0.25">
      <c r="A123" s="122" t="s">
        <v>25</v>
      </c>
      <c r="B123" s="124">
        <f>ABS(B100-B100)/ABS(MAX($B$100:$D$100)-MIN($B$100:$D$100))</f>
        <v>0</v>
      </c>
      <c r="C123" s="124">
        <f>ABS(B100-C100)/ABS(MAX($B$100:$D$100)-MIN($B$100:$D$100))</f>
        <v>0.68316831683168289</v>
      </c>
      <c r="D123" s="124">
        <f>ABS(B100-D100)/ABS(MAX($B$100:$D$100)-MIN($B$100:$D$100))</f>
        <v>1</v>
      </c>
      <c r="E123" s="163"/>
      <c r="F123" s="163"/>
      <c r="G123" s="163"/>
    </row>
    <row r="124" spans="1:7" x14ac:dyDescent="0.25">
      <c r="B124" s="124">
        <f>ABS(C100-B100)/ABS(MAX($B$100:$D$100)-MIN($B$100:$D$100))</f>
        <v>0.68316831683168289</v>
      </c>
      <c r="C124" s="124">
        <f>ABS(C100-C100)/ABS(MAX($B$100:$D$100)-MIN($B$100:$D$100))</f>
        <v>0</v>
      </c>
      <c r="D124" s="124">
        <f>ABS(C100-D100)/ABS(MAX($B$100:$D$100)-MIN($B$100:$D$100))</f>
        <v>0.31683168316831706</v>
      </c>
      <c r="E124" s="163"/>
      <c r="F124" s="163"/>
      <c r="G124" s="163"/>
    </row>
    <row r="125" spans="1:7" x14ac:dyDescent="0.25">
      <c r="B125" s="124">
        <f>ABS(D100-B100)/ABS(MAX($B$100:$D$100)-MIN($B$100:$D$100))</f>
        <v>1</v>
      </c>
      <c r="C125" s="124">
        <f>ABS(D100-C100)/ABS(MAX($B$100:$D$100)-MIN($B$100:$D$100))</f>
        <v>0.31683168316831706</v>
      </c>
      <c r="D125" s="124">
        <f>ABS(D100-D100)/ABS(MAX($B$100:$D$100)-MIN($B$100:$D$100))</f>
        <v>0</v>
      </c>
      <c r="E125" s="163"/>
      <c r="F125" s="163"/>
      <c r="G125" s="163"/>
    </row>
    <row r="126" spans="1:7" x14ac:dyDescent="0.25">
      <c r="E126" s="163"/>
      <c r="F126" s="163"/>
      <c r="G126" s="163"/>
    </row>
    <row r="127" spans="1:7" x14ac:dyDescent="0.25">
      <c r="A127" s="122" t="s">
        <v>14</v>
      </c>
      <c r="B127" s="124">
        <f>ABS(B101-B101)/ABS(MAX($B$101:$D$101)-MIN($B$101:$D$101))</f>
        <v>0</v>
      </c>
      <c r="C127" s="124">
        <f>ABS(B101-C101)/ABS(MAX($B$101:$D$101)-MIN($B$101:$D$101))</f>
        <v>0.66666666666666652</v>
      </c>
      <c r="D127" s="124">
        <f>ABS(B101-D101)/ABS(MAX($B$101:$D$101)-MIN($B$101:$D$101))</f>
        <v>0.33333333333333343</v>
      </c>
      <c r="E127" s="163"/>
      <c r="F127" s="163"/>
      <c r="G127" s="163"/>
    </row>
    <row r="128" spans="1:7" x14ac:dyDescent="0.25">
      <c r="B128" s="124">
        <f>ABS(C101-B101)/ABS(MAX($B$101:$D$101)-MIN($B$101:$D$101))</f>
        <v>0.66666666666666652</v>
      </c>
      <c r="C128" s="124">
        <f>ABS(C101-C101)/ABS(MAX($B$101:$D$101)-MIN($B$101:$D$101))</f>
        <v>0</v>
      </c>
      <c r="D128" s="124">
        <f>ABS(C101-D101)/ABS(MAX($B$101:$D$101)-MIN($B$101:$D$101))</f>
        <v>1</v>
      </c>
      <c r="E128" s="163"/>
      <c r="F128" s="163"/>
      <c r="G128" s="163"/>
    </row>
    <row r="129" spans="1:7" x14ac:dyDescent="0.25">
      <c r="B129" s="124">
        <f>ABS(D101-B101)/ABS(MAX($B$101:$D$101)-MIN($B$101:$D$101))</f>
        <v>0.33333333333333343</v>
      </c>
      <c r="C129" s="124">
        <f>ABS(D101-C101)/ABS(MAX($B$101:$D$101)-MIN($B$101:$D$101))</f>
        <v>1</v>
      </c>
      <c r="D129" s="124">
        <f>ABS(D101-D101)/ABS(MAX($B$101:$D$101)-MIN($B$101:$D$101))</f>
        <v>0</v>
      </c>
      <c r="E129" s="163"/>
      <c r="F129" s="163"/>
      <c r="G129" s="163"/>
    </row>
    <row r="130" spans="1:7" x14ac:dyDescent="0.25">
      <c r="E130" s="163"/>
      <c r="F130" s="163"/>
      <c r="G130" s="163"/>
    </row>
    <row r="131" spans="1:7" x14ac:dyDescent="0.25">
      <c r="A131" s="122" t="s">
        <v>15</v>
      </c>
      <c r="B131" s="124">
        <f>ABS(B102-B102)/ABS(MAX($B$102:$D$102)-MIN($B$102:$D$102))</f>
        <v>0</v>
      </c>
      <c r="C131" s="124">
        <f>ABS(B102-C102)/ABS(MAX($B$102:$D$102)-MIN($B$102:$D$102))</f>
        <v>1</v>
      </c>
      <c r="D131" s="124">
        <f>ABS(B102-D102)/ABS(MAX($B$102:$D$102)-MIN($B$102:$D$102))</f>
        <v>0.29059829059829079</v>
      </c>
      <c r="E131" s="163"/>
      <c r="F131" s="163"/>
      <c r="G131" s="163"/>
    </row>
    <row r="132" spans="1:7" x14ac:dyDescent="0.25">
      <c r="B132" s="124">
        <f>ABS(C102-B102)/ABS(MAX($B$102:$D$102)-MIN($B$102:$D$102))</f>
        <v>1</v>
      </c>
      <c r="C132" s="124">
        <f>ABS(C102-C102)/ABS(MAX($B$102:$D$102)-MIN($B$102:$D$102))</f>
        <v>0</v>
      </c>
      <c r="D132" s="124">
        <f>ABS(C102-D102)/ABS(MAX($B$102:$D$102)-MIN($B$102:$D$102))</f>
        <v>0.70940170940170921</v>
      </c>
      <c r="E132" s="163"/>
      <c r="F132" s="163"/>
      <c r="G132" s="163"/>
    </row>
    <row r="133" spans="1:7" x14ac:dyDescent="0.25">
      <c r="B133" s="124">
        <f>ABS(D102-B102)/ABS(MAX($B$102:$D$102)-MIN($B$102:$D$102))</f>
        <v>0.29059829059829079</v>
      </c>
      <c r="C133" s="124">
        <f>ABS(D102-C102)/ABS(MAX($B$102:$D$102)-MIN($B$102:$D$102))</f>
        <v>0.70940170940170921</v>
      </c>
      <c r="D133" s="124">
        <f>ABS(D102-D102)/ABS(MAX($B$102:$D$102)-MIN($B$102:$D$102))</f>
        <v>0</v>
      </c>
      <c r="E133" s="163"/>
      <c r="F133" s="163"/>
      <c r="G133" s="163"/>
    </row>
    <row r="134" spans="1:7" x14ac:dyDescent="0.25">
      <c r="E134" s="163"/>
      <c r="F134" s="163"/>
      <c r="G134" s="163"/>
    </row>
    <row r="135" spans="1:7" x14ac:dyDescent="0.25">
      <c r="A135" s="122" t="s">
        <v>16</v>
      </c>
      <c r="B135" s="124">
        <f>ABS(B103-B103)/ABS(MAX($B$103:$D$103)-MIN($B$103:$D$103))</f>
        <v>0</v>
      </c>
      <c r="C135" s="124">
        <f>ABS(B103-C103)/ABS(MAX($B$103:$D$103)-MIN($B$103:$D$103))</f>
        <v>0.28326180257510708</v>
      </c>
      <c r="D135" s="124">
        <f>ABS(B103-D103)/ABS(MAX($B$103:$D$103)-MIN($B$103:$D$103))</f>
        <v>0.71673819742489286</v>
      </c>
      <c r="E135" s="163"/>
      <c r="F135" s="163"/>
      <c r="G135" s="163"/>
    </row>
    <row r="136" spans="1:7" x14ac:dyDescent="0.25">
      <c r="B136" s="124">
        <f>ABS(C103-B103)/ABS(MAX($B$103:$D$103)-MIN($B$103:$D$103))</f>
        <v>0.28326180257510708</v>
      </c>
      <c r="C136" s="124">
        <f>ABS(C103-C103)/ABS(MAX($B$103:$D$103)-MIN($B$103:$D$103))</f>
        <v>0</v>
      </c>
      <c r="D136" s="124">
        <f>ABS(C103-D103)/ABS(MAX($B$103:$D$103)-MIN($B$103:$D$103))</f>
        <v>1</v>
      </c>
      <c r="E136" s="163"/>
      <c r="F136" s="163"/>
      <c r="G136" s="163"/>
    </row>
    <row r="137" spans="1:7" x14ac:dyDescent="0.25">
      <c r="B137" s="124">
        <f>ABS(D103-B103)/ABS(MAX($B$103:$D$103)-MIN($B$103:$D$103))</f>
        <v>0.71673819742489286</v>
      </c>
      <c r="C137" s="124">
        <f>ABS(D103-C103)/ABS(MAX($B$103:$D$103)-MIN($B$103:$D$103))</f>
        <v>1</v>
      </c>
      <c r="D137" s="124">
        <f>ABS(D103-D103)/ABS(MAX($B$103:$D$103)-MIN($B$103:$D$103))</f>
        <v>0</v>
      </c>
      <c r="E137" s="163"/>
      <c r="F137" s="163"/>
      <c r="G137" s="163"/>
    </row>
    <row r="138" spans="1:7" x14ac:dyDescent="0.25">
      <c r="E138" s="163"/>
      <c r="F138" s="163"/>
      <c r="G138" s="163"/>
    </row>
    <row r="139" spans="1:7" x14ac:dyDescent="0.25">
      <c r="A139" s="122" t="s">
        <v>18</v>
      </c>
      <c r="B139" s="124">
        <f>ABS(B104-B104)/ABS(MAX($B$104:$D$104)-MIN($B$104:$D$104))</f>
        <v>0</v>
      </c>
      <c r="C139" s="124">
        <f>ABS(B104-C104)/ABS(MAX($B$104:$D$104)-MIN($B$104:$D$104))</f>
        <v>0.75471698113207553</v>
      </c>
      <c r="D139" s="124">
        <f>ABS(B104-D104)/ABS(MAX($B$104:$D$104)-MIN($B$104:$D$104))</f>
        <v>0.24528301886792453</v>
      </c>
      <c r="E139" s="163"/>
      <c r="F139" s="163"/>
      <c r="G139" s="163"/>
    </row>
    <row r="140" spans="1:7" x14ac:dyDescent="0.25">
      <c r="B140" s="124">
        <f>ABS(C104-B104)/ABS(MAX($B$104:$D$104)-MIN($B$104:$D$104))</f>
        <v>0.75471698113207553</v>
      </c>
      <c r="C140" s="124">
        <f>ABS(C104-C104)/ABS(MAX($B$104:$D$104)-MIN($B$104:$D$104))</f>
        <v>0</v>
      </c>
      <c r="D140" s="124">
        <f>ABS(C104-D104)/ABS(MAX($B$104:$D$104)-MIN($B$104:$D$104))</f>
        <v>1</v>
      </c>
      <c r="E140" s="163"/>
      <c r="F140" s="163"/>
      <c r="G140" s="163"/>
    </row>
    <row r="141" spans="1:7" x14ac:dyDescent="0.25">
      <c r="B141" s="124">
        <f>ABS(D104-B104)/ABS(MAX($B$104:$D$104)-MIN($B$104:$D$104))</f>
        <v>0.24528301886792453</v>
      </c>
      <c r="C141" s="124">
        <f>ABS(D104-C104)/ABS(MAX($B$104:$D$104)-MIN($B$104:$D$104))</f>
        <v>1</v>
      </c>
      <c r="D141" s="124">
        <f>ABS(D104-D104)/ABS(MAX($B$104:$D$104)-MIN($B$104:$D$104))</f>
        <v>0</v>
      </c>
      <c r="E141" s="163"/>
      <c r="F141" s="163"/>
      <c r="G141" s="163"/>
    </row>
    <row r="142" spans="1:7" x14ac:dyDescent="0.25">
      <c r="E142" s="163"/>
      <c r="F142" s="163"/>
      <c r="G142" s="163"/>
    </row>
    <row r="143" spans="1:7" x14ac:dyDescent="0.25">
      <c r="A143" s="122" t="s">
        <v>19</v>
      </c>
      <c r="B143" s="124">
        <f>ABS(B105-B105)/ABS(MAX($B$105:$D$105)-MIN($B$105:$D$105))</f>
        <v>0</v>
      </c>
      <c r="C143" s="124">
        <f>ABS(B105-C105)/ABS(MAX($B$105:$D$105)-MIN($B$105:$D$105))</f>
        <v>0.43999999999999984</v>
      </c>
      <c r="D143" s="124">
        <f>ABS(B105-D105)/ABS(MAX($B$105:$D$105)-MIN($B$105:$D$105))</f>
        <v>0.56000000000000016</v>
      </c>
      <c r="E143" s="163"/>
      <c r="F143" s="163"/>
      <c r="G143" s="163"/>
    </row>
    <row r="144" spans="1:7" x14ac:dyDescent="0.25">
      <c r="B144" s="124">
        <f>ABS(C105-B105)/ABS(MAX($B$105:$D$105)-MIN($B$105:$D$105))</f>
        <v>0.43999999999999984</v>
      </c>
      <c r="C144" s="124">
        <f>ABS(C105-C105)/ABS(MAX($B$105:$D$105)-MIN($B$105:$D$105))</f>
        <v>0</v>
      </c>
      <c r="D144" s="124">
        <f>ABS(C105-D105)/ABS(MAX($B$105:$D$105)-MIN($B$105:$D$105))</f>
        <v>1</v>
      </c>
      <c r="E144" s="163"/>
      <c r="F144" s="163"/>
      <c r="G144" s="163"/>
    </row>
    <row r="145" spans="1:7" x14ac:dyDescent="0.25">
      <c r="B145" s="124">
        <f>ABS(D105-B105)/ABS(MAX($B$105:$D$105)-MIN($B$105:$D$105))</f>
        <v>0.56000000000000016</v>
      </c>
      <c r="C145" s="124">
        <f>ABS(D105-C105)/ABS(MAX($B$105:$D$105)-MIN($B$105:$D$105))</f>
        <v>1</v>
      </c>
      <c r="D145" s="124">
        <f>ABS(D105-D105)/ABS(MAX($B$105:$D$105)-MIN($B$105:$D$105))</f>
        <v>0</v>
      </c>
      <c r="E145" s="163"/>
      <c r="F145" s="163"/>
      <c r="G145" s="163"/>
    </row>
    <row r="146" spans="1:7" x14ac:dyDescent="0.25">
      <c r="E146" s="163"/>
      <c r="F146" s="163"/>
      <c r="G146" s="163"/>
    </row>
    <row r="147" spans="1:7" x14ac:dyDescent="0.25">
      <c r="A147" s="122" t="s">
        <v>20</v>
      </c>
      <c r="B147" s="124">
        <f>ABS(B106-B106)/ABS(MAX($B$106:$D$106)-MIN($B$106:$D$106))</f>
        <v>0</v>
      </c>
      <c r="C147" s="124">
        <f>ABS(B106-C106)/ABS(MAX($B$106:$D$106)-MIN($B$106:$D$106))</f>
        <v>0.56652360515021449</v>
      </c>
      <c r="D147" s="124">
        <f>ABS(B106-D106)/ABS(MAX($B$106:$D$106)-MIN($B$106:$D$106))</f>
        <v>0.43347639484978551</v>
      </c>
      <c r="E147" s="163"/>
      <c r="F147" s="163"/>
      <c r="G147" s="163"/>
    </row>
    <row r="148" spans="1:7" x14ac:dyDescent="0.25">
      <c r="B148" s="124">
        <f>ABS(C106-B106)/ABS(MAX($B$106:$D$106)-MIN($B$106:$D$106))</f>
        <v>0.56652360515021449</v>
      </c>
      <c r="C148" s="124">
        <f>ABS(C106-C106)/ABS(MAX($B$106:$D$106)-MIN($B$106:$D$106))</f>
        <v>0</v>
      </c>
      <c r="D148" s="124">
        <f>ABS(C106-D106)/ABS(MAX($B$106:$D$106)-MIN($B$106:$D$106))</f>
        <v>1</v>
      </c>
      <c r="E148" s="163"/>
      <c r="F148" s="163"/>
      <c r="G148" s="163"/>
    </row>
    <row r="149" spans="1:7" x14ac:dyDescent="0.25">
      <c r="B149" s="124">
        <f>ABS(D106-B106)/ABS(MAX($B$106:$D$106)-MIN($B$106:$D$106))</f>
        <v>0.43347639484978551</v>
      </c>
      <c r="C149" s="124">
        <f>ABS(D106-C106)/ABS(MAX($B$106:$D$106)-MIN($B$106:$D$106))</f>
        <v>1</v>
      </c>
      <c r="D149" s="124">
        <f>ABS(D106-D106)/ABS(MAX($B$106:$D$106)-MIN($B$106:$D$106))</f>
        <v>0</v>
      </c>
      <c r="E149" s="163"/>
      <c r="F149" s="163"/>
      <c r="G149" s="163"/>
    </row>
    <row r="150" spans="1:7" x14ac:dyDescent="0.25">
      <c r="E150" s="163"/>
      <c r="F150" s="163"/>
      <c r="G150" s="163"/>
    </row>
    <row r="151" spans="1:7" x14ac:dyDescent="0.25">
      <c r="A151" s="122" t="s">
        <v>21</v>
      </c>
      <c r="B151" s="124">
        <f>ABS(B107-B107)/ABS(MAX($B$107:$D$107)-MIN($B$107:$D$107))</f>
        <v>0</v>
      </c>
      <c r="C151" s="124">
        <f>ABS(B107-C107)/ABS(MAX($B$107:$D$107)-MIN($B$107:$D$107))</f>
        <v>1.5151515151514304E-2</v>
      </c>
      <c r="D151" s="124">
        <f>ABS(B107-D107)/ABS(MAX($B$107:$D$107)-MIN($B$107:$D$107))</f>
        <v>1</v>
      </c>
      <c r="E151" s="163"/>
      <c r="F151" s="163"/>
      <c r="G151" s="163"/>
    </row>
    <row r="152" spans="1:7" x14ac:dyDescent="0.25">
      <c r="B152" s="124">
        <f>ABS(C107-B107)/ABS(MAX($B$107:$D$107)-MIN($B$107:$D$107))</f>
        <v>1.5151515151514304E-2</v>
      </c>
      <c r="C152" s="124">
        <f>ABS(C107-C107)/ABS(MAX($B$107:$D$107)-MIN($B$107:$D$107))</f>
        <v>0</v>
      </c>
      <c r="D152" s="124">
        <f>ABS(C107-D107)/ABS(MAX($B$107:$D$107)-MIN($B$107:$D$107))</f>
        <v>0.98484848484848575</v>
      </c>
      <c r="E152" s="163"/>
      <c r="F152" s="163"/>
      <c r="G152" s="163"/>
    </row>
    <row r="153" spans="1:7" x14ac:dyDescent="0.25">
      <c r="B153" s="124">
        <f>ABS(D107-B107)/ABS(MAX($B$107:$D$107)-MIN($B$107:$D$107))</f>
        <v>1</v>
      </c>
      <c r="C153" s="124">
        <f>ABS(D107-C107)/ABS(MAX($B$107:$D$107)-MIN($B$107:$D$107))</f>
        <v>0.98484848484848575</v>
      </c>
      <c r="D153" s="124">
        <f>ABS(D107-D107)/ABS(MAX($B$107:$D$107)-MIN($B$107:$D$107))</f>
        <v>0</v>
      </c>
      <c r="E153" s="163"/>
      <c r="F153" s="163"/>
      <c r="G153" s="163"/>
    </row>
    <row r="154" spans="1:7" x14ac:dyDescent="0.25">
      <c r="E154" s="163"/>
      <c r="F154" s="163"/>
      <c r="G154" s="163"/>
    </row>
    <row r="155" spans="1:7" x14ac:dyDescent="0.25">
      <c r="A155" s="122" t="s">
        <v>23</v>
      </c>
      <c r="B155" s="124">
        <f>ABS(B108-B108)/ABS(MAX($B$108:$D$108)-MIN($B$108:$D$108))</f>
        <v>0</v>
      </c>
      <c r="C155" s="124">
        <f>ABS(B108-C108)/ABS(MAX($B$108:$D$108)-MIN($B$108:$D$108))</f>
        <v>0.60843373493975905</v>
      </c>
      <c r="D155" s="124">
        <f>ABS(B108-D108)/ABS(MAX($B$108:$D$108)-MIN($B$108:$D$108))</f>
        <v>0.39156626506024095</v>
      </c>
      <c r="E155" s="163"/>
      <c r="F155" s="163"/>
      <c r="G155" s="163"/>
    </row>
    <row r="156" spans="1:7" x14ac:dyDescent="0.25">
      <c r="B156" s="124">
        <f>ABS(C108-B108)/ABS(MAX($B$108:$D$108)-MIN($B$108:$D$108))</f>
        <v>0.60843373493975905</v>
      </c>
      <c r="C156" s="124">
        <f>ABS(C108-C108)/ABS(MAX($B$108:$D$108)-MIN($B$108:$D$108))</f>
        <v>0</v>
      </c>
      <c r="D156" s="124">
        <f>ABS(C108-D108)/ABS(MAX($B$108:$D$108)-MIN($B$108:$D$108))</f>
        <v>1</v>
      </c>
      <c r="E156" s="163"/>
      <c r="F156" s="163"/>
      <c r="G156" s="163"/>
    </row>
    <row r="157" spans="1:7" x14ac:dyDescent="0.25">
      <c r="B157" s="124">
        <f>ABS(D108-B108)/ABS(MAX($B$108:$D$108)-MIN($B$108:$D$108))</f>
        <v>0.39156626506024095</v>
      </c>
      <c r="C157" s="124">
        <f>ABS(D108-C108)/ABS(MAX($B$108:$D$108)-MIN($B$108:$D$108))</f>
        <v>1</v>
      </c>
      <c r="D157" s="124">
        <f>ABS(D108-D108)/ABS(MAX($B$108:$D$108)-MIN($B$108:$D$108))</f>
        <v>0</v>
      </c>
      <c r="E157" s="163"/>
      <c r="F157" s="163"/>
      <c r="G157" s="163"/>
    </row>
    <row r="158" spans="1:7" x14ac:dyDescent="0.25">
      <c r="E158" s="163"/>
      <c r="F158" s="163"/>
      <c r="G158" s="163"/>
    </row>
    <row r="159" spans="1:7" x14ac:dyDescent="0.25">
      <c r="A159" s="122" t="s">
        <v>24</v>
      </c>
      <c r="B159" s="124">
        <f>ABS(B109-B109)/ABS(MAX($B$109:$D$109)-MIN($B$109:$D$109))</f>
        <v>0</v>
      </c>
      <c r="C159" s="124">
        <f>ABS(B109-C109)/ABS(MAX($B$109:$D$109)-MIN($B$109:$D$109))</f>
        <v>1</v>
      </c>
      <c r="D159" s="124">
        <f>ABS(B109-D109)/ABS(MAX($B$109:$D$109)-MIN($B$109:$D$109))</f>
        <v>0.5</v>
      </c>
      <c r="E159" s="163"/>
      <c r="F159" s="163"/>
      <c r="G159" s="163"/>
    </row>
    <row r="160" spans="1:7" x14ac:dyDescent="0.25">
      <c r="B160" s="124">
        <f>ABS(C109-B109)/ABS(MAX($B$109:$D$109)-MIN($B$109:$D$109))</f>
        <v>1</v>
      </c>
      <c r="C160" s="124">
        <f>ABS(C109-C109)/ABS(MAX($B$109:$D$109)-MIN($B$109:$D$109))</f>
        <v>0</v>
      </c>
      <c r="D160" s="124">
        <f>ABS(C109-D109)/ABS(MAX($B$109:$D$109)-MIN($B$109:$D$109))</f>
        <v>0.5</v>
      </c>
      <c r="E160" s="163"/>
      <c r="F160" s="163"/>
      <c r="G160" s="163"/>
    </row>
    <row r="161" spans="1:7" x14ac:dyDescent="0.25">
      <c r="B161" s="124">
        <f>ABS(D109-B109)/ABS(MAX($B$109:$D$109)-MIN($B$109:$D$109))</f>
        <v>0.5</v>
      </c>
      <c r="C161" s="124">
        <f>ABS(D109-C109)/ABS(MAX($B$109:$D$109)-MIN($B$109:$D$109))</f>
        <v>0.5</v>
      </c>
      <c r="D161" s="124">
        <f>ABS(D109-D109)/ABS(MAX($B$109:$D$109)-MIN($B$109:$D$109))</f>
        <v>0</v>
      </c>
      <c r="E161" s="163"/>
      <c r="F161" s="163"/>
      <c r="G161" s="163"/>
    </row>
    <row r="163" spans="1:7" x14ac:dyDescent="0.25">
      <c r="A163" s="166" t="s">
        <v>209</v>
      </c>
    </row>
    <row r="164" spans="1:7" x14ac:dyDescent="0.25">
      <c r="A164" s="122" t="s">
        <v>25</v>
      </c>
      <c r="B164" s="124">
        <f>(1-B123)^2</f>
        <v>1</v>
      </c>
      <c r="C164" s="124">
        <f t="shared" ref="C164:D164" si="15">(1-C123)^2</f>
        <v>0.10038231545926887</v>
      </c>
      <c r="D164" s="124">
        <f t="shared" si="15"/>
        <v>0</v>
      </c>
    </row>
    <row r="165" spans="1:7" x14ac:dyDescent="0.25">
      <c r="B165" s="124">
        <f t="shared" ref="B165:D166" si="16">(1-B124)^2</f>
        <v>0.10038231545926887</v>
      </c>
      <c r="C165" s="124">
        <f t="shared" si="16"/>
        <v>1</v>
      </c>
      <c r="D165" s="124">
        <f t="shared" si="16"/>
        <v>0.46671894912263467</v>
      </c>
    </row>
    <row r="166" spans="1:7" x14ac:dyDescent="0.25">
      <c r="B166" s="124">
        <f t="shared" si="16"/>
        <v>0</v>
      </c>
      <c r="C166" s="124">
        <f t="shared" si="16"/>
        <v>0.46671894912263467</v>
      </c>
      <c r="D166" s="124">
        <f t="shared" si="16"/>
        <v>1</v>
      </c>
    </row>
    <row r="168" spans="1:7" x14ac:dyDescent="0.25">
      <c r="A168" s="122" t="s">
        <v>14</v>
      </c>
      <c r="B168" s="124">
        <f>(1-B127)^2</f>
        <v>1</v>
      </c>
      <c r="C168" s="124">
        <f t="shared" ref="C168:D168" si="17">(1-C127)^2</f>
        <v>0.11111111111111122</v>
      </c>
      <c r="D168" s="124">
        <f t="shared" si="17"/>
        <v>0.44444444444444425</v>
      </c>
    </row>
    <row r="169" spans="1:7" x14ac:dyDescent="0.25">
      <c r="B169" s="124">
        <f t="shared" ref="B169:D169" si="18">(1-B128)^2</f>
        <v>0.11111111111111122</v>
      </c>
      <c r="C169" s="124">
        <f t="shared" si="18"/>
        <v>1</v>
      </c>
      <c r="D169" s="124">
        <f t="shared" si="18"/>
        <v>0</v>
      </c>
    </row>
    <row r="170" spans="1:7" x14ac:dyDescent="0.25">
      <c r="B170" s="124">
        <f t="shared" ref="B170:D170" si="19">(1-B129)^2</f>
        <v>0.44444444444444425</v>
      </c>
      <c r="C170" s="124">
        <f t="shared" si="19"/>
        <v>0</v>
      </c>
      <c r="D170" s="124">
        <f t="shared" si="19"/>
        <v>1</v>
      </c>
    </row>
    <row r="172" spans="1:7" x14ac:dyDescent="0.25">
      <c r="A172" s="122" t="s">
        <v>15</v>
      </c>
      <c r="B172" s="124">
        <f>(1-B131)^2</f>
        <v>1</v>
      </c>
      <c r="C172" s="124">
        <f t="shared" ref="C172:D172" si="20">(1-C131)^2</f>
        <v>0</v>
      </c>
      <c r="D172" s="124">
        <f t="shared" si="20"/>
        <v>0.50325078530206713</v>
      </c>
    </row>
    <row r="173" spans="1:7" x14ac:dyDescent="0.25">
      <c r="B173" s="124">
        <f t="shared" ref="B173:D173" si="21">(1-B132)^2</f>
        <v>0</v>
      </c>
      <c r="C173" s="124">
        <f t="shared" si="21"/>
        <v>1</v>
      </c>
      <c r="D173" s="124">
        <f t="shared" si="21"/>
        <v>8.444736649864866E-2</v>
      </c>
    </row>
    <row r="174" spans="1:7" x14ac:dyDescent="0.25">
      <c r="B174" s="124">
        <f t="shared" ref="B174:D174" si="22">(1-B133)^2</f>
        <v>0.50325078530206713</v>
      </c>
      <c r="C174" s="124">
        <f t="shared" si="22"/>
        <v>8.444736649864866E-2</v>
      </c>
      <c r="D174" s="124">
        <f t="shared" si="22"/>
        <v>1</v>
      </c>
    </row>
    <row r="176" spans="1:7" x14ac:dyDescent="0.25">
      <c r="A176" s="122" t="s">
        <v>16</v>
      </c>
      <c r="B176" s="124">
        <f>(1-B135)^2</f>
        <v>1</v>
      </c>
      <c r="C176" s="124">
        <f t="shared" ref="C176:D176" si="23">(1-C135)^2</f>
        <v>0.51371364364788485</v>
      </c>
      <c r="D176" s="124">
        <f t="shared" si="23"/>
        <v>8.0237248798098973E-2</v>
      </c>
    </row>
    <row r="177" spans="1:4" x14ac:dyDescent="0.25">
      <c r="B177" s="124">
        <f t="shared" ref="B177:D177" si="24">(1-B136)^2</f>
        <v>0.51371364364788485</v>
      </c>
      <c r="C177" s="124">
        <f t="shared" si="24"/>
        <v>1</v>
      </c>
      <c r="D177" s="124">
        <f t="shared" si="24"/>
        <v>0</v>
      </c>
    </row>
    <row r="178" spans="1:4" x14ac:dyDescent="0.25">
      <c r="B178" s="124">
        <f t="shared" ref="B178:D178" si="25">(1-B137)^2</f>
        <v>8.0237248798098973E-2</v>
      </c>
      <c r="C178" s="124">
        <f t="shared" si="25"/>
        <v>0</v>
      </c>
      <c r="D178" s="124">
        <f t="shared" si="25"/>
        <v>1</v>
      </c>
    </row>
    <row r="180" spans="1:4" x14ac:dyDescent="0.25">
      <c r="A180" s="122" t="s">
        <v>18</v>
      </c>
      <c r="B180" s="124">
        <f>(1-B139)^2</f>
        <v>1</v>
      </c>
      <c r="C180" s="124">
        <f t="shared" ref="C180:D180" si="26">(1-C139)^2</f>
        <v>6.016375934496259E-2</v>
      </c>
      <c r="D180" s="124">
        <f t="shared" si="26"/>
        <v>0.56959772160911359</v>
      </c>
    </row>
    <row r="181" spans="1:4" x14ac:dyDescent="0.25">
      <c r="B181" s="124">
        <f t="shared" ref="B181:D181" si="27">(1-B140)^2</f>
        <v>6.016375934496259E-2</v>
      </c>
      <c r="C181" s="124">
        <f t="shared" si="27"/>
        <v>1</v>
      </c>
      <c r="D181" s="124">
        <f t="shared" si="27"/>
        <v>0</v>
      </c>
    </row>
    <row r="182" spans="1:4" x14ac:dyDescent="0.25">
      <c r="B182" s="124">
        <f t="shared" ref="B182:D182" si="28">(1-B141)^2</f>
        <v>0.56959772160911359</v>
      </c>
      <c r="C182" s="124">
        <f t="shared" si="28"/>
        <v>0</v>
      </c>
      <c r="D182" s="124">
        <f t="shared" si="28"/>
        <v>1</v>
      </c>
    </row>
    <row r="184" spans="1:4" x14ac:dyDescent="0.25">
      <c r="A184" s="122" t="s">
        <v>19</v>
      </c>
      <c r="B184" s="124">
        <f>(1-B143)^2</f>
        <v>1</v>
      </c>
      <c r="C184" s="124">
        <f t="shared" ref="C184:D184" si="29">(1-C143)^2</f>
        <v>0.31360000000000016</v>
      </c>
      <c r="D184" s="124">
        <f t="shared" si="29"/>
        <v>0.19359999999999986</v>
      </c>
    </row>
    <row r="185" spans="1:4" x14ac:dyDescent="0.25">
      <c r="B185" s="124">
        <f t="shared" ref="B185:D185" si="30">(1-B144)^2</f>
        <v>0.31360000000000016</v>
      </c>
      <c r="C185" s="124">
        <f t="shared" si="30"/>
        <v>1</v>
      </c>
      <c r="D185" s="124">
        <f t="shared" si="30"/>
        <v>0</v>
      </c>
    </row>
    <row r="186" spans="1:4" x14ac:dyDescent="0.25">
      <c r="B186" s="124">
        <f t="shared" ref="B186:D186" si="31">(1-B145)^2</f>
        <v>0.19359999999999986</v>
      </c>
      <c r="C186" s="124">
        <f t="shared" si="31"/>
        <v>0</v>
      </c>
      <c r="D186" s="124">
        <f t="shared" si="31"/>
        <v>1</v>
      </c>
    </row>
    <row r="188" spans="1:4" x14ac:dyDescent="0.25">
      <c r="A188" s="122" t="s">
        <v>20</v>
      </c>
      <c r="B188" s="124">
        <f>(1-B147)^2</f>
        <v>1</v>
      </c>
      <c r="C188" s="124">
        <f t="shared" ref="C188:D188" si="32">(1-C147)^2</f>
        <v>0.18790178489196716</v>
      </c>
      <c r="D188" s="124">
        <f t="shared" si="32"/>
        <v>0.32094899519239611</v>
      </c>
    </row>
    <row r="189" spans="1:4" x14ac:dyDescent="0.25">
      <c r="B189" s="124">
        <f t="shared" ref="B189:D189" si="33">(1-B148)^2</f>
        <v>0.18790178489196716</v>
      </c>
      <c r="C189" s="124">
        <f t="shared" si="33"/>
        <v>1</v>
      </c>
      <c r="D189" s="124">
        <f t="shared" si="33"/>
        <v>0</v>
      </c>
    </row>
    <row r="190" spans="1:4" x14ac:dyDescent="0.25">
      <c r="B190" s="124">
        <f t="shared" ref="B190:D190" si="34">(1-B149)^2</f>
        <v>0.32094899519239611</v>
      </c>
      <c r="C190" s="124">
        <f t="shared" si="34"/>
        <v>0</v>
      </c>
      <c r="D190" s="124">
        <f t="shared" si="34"/>
        <v>1</v>
      </c>
    </row>
    <row r="192" spans="1:4" x14ac:dyDescent="0.25">
      <c r="A192" s="122" t="s">
        <v>21</v>
      </c>
      <c r="B192" s="124">
        <f>(1-B151)^2</f>
        <v>1</v>
      </c>
      <c r="C192" s="124">
        <f t="shared" ref="C192:D192" si="35">(1-C151)^2</f>
        <v>0.96992653810835805</v>
      </c>
      <c r="D192" s="124">
        <f t="shared" si="35"/>
        <v>0</v>
      </c>
    </row>
    <row r="193" spans="1:4" x14ac:dyDescent="0.25">
      <c r="B193" s="124">
        <f t="shared" ref="B193:D193" si="36">(1-B152)^2</f>
        <v>0.96992653810835805</v>
      </c>
      <c r="C193" s="124">
        <f t="shared" si="36"/>
        <v>1</v>
      </c>
      <c r="D193" s="124">
        <f t="shared" si="36"/>
        <v>2.2956841138656588E-4</v>
      </c>
    </row>
    <row r="194" spans="1:4" x14ac:dyDescent="0.25">
      <c r="B194" s="124">
        <f t="shared" ref="B194:D194" si="37">(1-B153)^2</f>
        <v>0</v>
      </c>
      <c r="C194" s="124">
        <f t="shared" si="37"/>
        <v>2.2956841138656588E-4</v>
      </c>
      <c r="D194" s="124">
        <f t="shared" si="37"/>
        <v>1</v>
      </c>
    </row>
    <row r="196" spans="1:4" x14ac:dyDescent="0.25">
      <c r="A196" s="122" t="s">
        <v>23</v>
      </c>
      <c r="B196" s="124">
        <f>(1-B155)^2</f>
        <v>1</v>
      </c>
      <c r="C196" s="124">
        <f t="shared" ref="C196:D196" si="38">(1-C155)^2</f>
        <v>0.15332413993322688</v>
      </c>
      <c r="D196" s="124">
        <f t="shared" si="38"/>
        <v>0.37019160981274496</v>
      </c>
    </row>
    <row r="197" spans="1:4" x14ac:dyDescent="0.25">
      <c r="B197" s="124">
        <f t="shared" ref="B197:D197" si="39">(1-B156)^2</f>
        <v>0.15332413993322688</v>
      </c>
      <c r="C197" s="124">
        <f t="shared" si="39"/>
        <v>1</v>
      </c>
      <c r="D197" s="124">
        <f t="shared" si="39"/>
        <v>0</v>
      </c>
    </row>
    <row r="198" spans="1:4" x14ac:dyDescent="0.25">
      <c r="B198" s="124">
        <f t="shared" ref="B198:D198" si="40">(1-B157)^2</f>
        <v>0.37019160981274496</v>
      </c>
      <c r="C198" s="124">
        <f t="shared" si="40"/>
        <v>0</v>
      </c>
      <c r="D198" s="124">
        <f t="shared" si="40"/>
        <v>1</v>
      </c>
    </row>
    <row r="200" spans="1:4" x14ac:dyDescent="0.25">
      <c r="A200" s="122" t="s">
        <v>24</v>
      </c>
      <c r="B200" s="124">
        <f>(1-B159)^2</f>
        <v>1</v>
      </c>
      <c r="C200" s="124">
        <f t="shared" ref="C200:D200" si="41">(1-C159)^2</f>
        <v>0</v>
      </c>
      <c r="D200" s="124">
        <f t="shared" si="41"/>
        <v>0.25</v>
      </c>
    </row>
    <row r="201" spans="1:4" x14ac:dyDescent="0.25">
      <c r="B201" s="124">
        <f t="shared" ref="B201:D201" si="42">(1-B160)^2</f>
        <v>0</v>
      </c>
      <c r="C201" s="124">
        <f t="shared" si="42"/>
        <v>1</v>
      </c>
      <c r="D201" s="124">
        <f t="shared" si="42"/>
        <v>0.25</v>
      </c>
    </row>
    <row r="202" spans="1:4" x14ac:dyDescent="0.25">
      <c r="B202" s="124">
        <f t="shared" ref="B202:D202" si="43">(1-B161)^2</f>
        <v>0.25</v>
      </c>
      <c r="C202" s="124">
        <f t="shared" si="43"/>
        <v>0.25</v>
      </c>
      <c r="D202" s="124">
        <f t="shared" si="43"/>
        <v>1</v>
      </c>
    </row>
    <row r="204" spans="1:4" x14ac:dyDescent="0.25">
      <c r="A204" s="166" t="s">
        <v>233</v>
      </c>
    </row>
    <row r="205" spans="1:4" x14ac:dyDescent="0.25">
      <c r="A205" s="122" t="s">
        <v>25</v>
      </c>
      <c r="B205" s="124">
        <f t="shared" ref="B205:D207" si="44">$B$120*B164+(1-$B$120)*(1-B123)</f>
        <v>1</v>
      </c>
      <c r="C205" s="124">
        <f t="shared" si="44"/>
        <v>0.23025193608469782</v>
      </c>
      <c r="D205" s="124">
        <f t="shared" si="44"/>
        <v>0</v>
      </c>
    </row>
    <row r="206" spans="1:4" x14ac:dyDescent="0.25">
      <c r="B206" s="124">
        <f t="shared" si="44"/>
        <v>0.23025193608469782</v>
      </c>
      <c r="C206" s="124">
        <f t="shared" si="44"/>
        <v>1</v>
      </c>
      <c r="D206" s="124">
        <f t="shared" si="44"/>
        <v>0.59658856974806362</v>
      </c>
    </row>
    <row r="207" spans="1:4" x14ac:dyDescent="0.25">
      <c r="B207" s="124">
        <f t="shared" si="44"/>
        <v>0</v>
      </c>
      <c r="C207" s="124">
        <f t="shared" si="44"/>
        <v>0.59658856974806362</v>
      </c>
      <c r="D207" s="124">
        <f t="shared" si="44"/>
        <v>1</v>
      </c>
    </row>
    <row r="209" spans="1:4" x14ac:dyDescent="0.25">
      <c r="A209" s="122" t="s">
        <v>14</v>
      </c>
      <c r="B209" s="124">
        <f t="shared" ref="B209:D211" si="45">$B$120*B168+(1-$B$120)*(1-B127)</f>
        <v>1</v>
      </c>
      <c r="C209" s="124">
        <f t="shared" si="45"/>
        <v>0.24444444444444458</v>
      </c>
      <c r="D209" s="124">
        <f t="shared" si="45"/>
        <v>0.57777777777777761</v>
      </c>
    </row>
    <row r="210" spans="1:4" x14ac:dyDescent="0.25">
      <c r="B210" s="124">
        <f t="shared" si="45"/>
        <v>0.24444444444444458</v>
      </c>
      <c r="C210" s="124">
        <f t="shared" si="45"/>
        <v>1</v>
      </c>
      <c r="D210" s="124">
        <f t="shared" si="45"/>
        <v>0</v>
      </c>
    </row>
    <row r="211" spans="1:4" x14ac:dyDescent="0.25">
      <c r="B211" s="124">
        <f t="shared" si="45"/>
        <v>0.57777777777777761</v>
      </c>
      <c r="C211" s="124">
        <f t="shared" si="45"/>
        <v>0</v>
      </c>
      <c r="D211" s="124">
        <f t="shared" si="45"/>
        <v>1</v>
      </c>
    </row>
    <row r="213" spans="1:4" x14ac:dyDescent="0.25">
      <c r="A213" s="122" t="s">
        <v>15</v>
      </c>
      <c r="B213" s="124">
        <f t="shared" ref="B213:D215" si="46">$B$120*B172+(1-$B$120)*(1-B131)</f>
        <v>1</v>
      </c>
      <c r="C213" s="124">
        <f t="shared" si="46"/>
        <v>0</v>
      </c>
      <c r="D213" s="124">
        <f t="shared" si="46"/>
        <v>0.6269413397618524</v>
      </c>
    </row>
    <row r="214" spans="1:4" x14ac:dyDescent="0.25">
      <c r="B214" s="124">
        <f t="shared" si="46"/>
        <v>0</v>
      </c>
      <c r="C214" s="124">
        <f t="shared" si="46"/>
        <v>1</v>
      </c>
      <c r="D214" s="124">
        <f t="shared" si="46"/>
        <v>0.20813792095843392</v>
      </c>
    </row>
    <row r="215" spans="1:4" x14ac:dyDescent="0.25">
      <c r="B215" s="124">
        <f t="shared" si="46"/>
        <v>0.6269413397618524</v>
      </c>
      <c r="C215" s="124">
        <f t="shared" si="46"/>
        <v>0.20813792095843392</v>
      </c>
      <c r="D215" s="124">
        <f t="shared" si="46"/>
        <v>1</v>
      </c>
    </row>
    <row r="217" spans="1:4" x14ac:dyDescent="0.25">
      <c r="A217" s="122" t="s">
        <v>16</v>
      </c>
      <c r="B217" s="124">
        <f t="shared" ref="B217:D219" si="47">$B$120*B176+(1-$B$120)*(1-B135)</f>
        <v>1</v>
      </c>
      <c r="C217" s="124">
        <f t="shared" si="47"/>
        <v>0.63552837591408973</v>
      </c>
      <c r="D217" s="124">
        <f t="shared" si="47"/>
        <v>0.20205198106430389</v>
      </c>
    </row>
    <row r="218" spans="1:4" x14ac:dyDescent="0.25">
      <c r="B218" s="124">
        <f t="shared" si="47"/>
        <v>0.63552837591408973</v>
      </c>
      <c r="C218" s="124">
        <f t="shared" si="47"/>
        <v>1</v>
      </c>
      <c r="D218" s="124">
        <f t="shared" si="47"/>
        <v>0</v>
      </c>
    </row>
    <row r="219" spans="1:4" x14ac:dyDescent="0.25">
      <c r="B219" s="124">
        <f t="shared" si="47"/>
        <v>0.20205198106430389</v>
      </c>
      <c r="C219" s="124">
        <f t="shared" si="47"/>
        <v>0</v>
      </c>
      <c r="D219" s="124">
        <f t="shared" si="47"/>
        <v>1</v>
      </c>
    </row>
    <row r="221" spans="1:4" x14ac:dyDescent="0.25">
      <c r="A221" s="122" t="s">
        <v>18</v>
      </c>
      <c r="B221" s="124">
        <f t="shared" ref="B221:D223" si="48">$B$120*B180+(1-$B$120)*(1-B139)</f>
        <v>1</v>
      </c>
      <c r="C221" s="124">
        <f t="shared" si="48"/>
        <v>0.17123531505873973</v>
      </c>
      <c r="D221" s="124">
        <f t="shared" si="48"/>
        <v>0.68066927732289073</v>
      </c>
    </row>
    <row r="222" spans="1:4" x14ac:dyDescent="0.25">
      <c r="B222" s="124">
        <f t="shared" si="48"/>
        <v>0.17123531505873973</v>
      </c>
      <c r="C222" s="124">
        <f t="shared" si="48"/>
        <v>1</v>
      </c>
      <c r="D222" s="124">
        <f t="shared" si="48"/>
        <v>0</v>
      </c>
    </row>
    <row r="223" spans="1:4" x14ac:dyDescent="0.25">
      <c r="B223" s="124">
        <f t="shared" si="48"/>
        <v>0.68066927732289073</v>
      </c>
      <c r="C223" s="124">
        <f t="shared" si="48"/>
        <v>0</v>
      </c>
      <c r="D223" s="124">
        <f t="shared" si="48"/>
        <v>1</v>
      </c>
    </row>
    <row r="225" spans="1:4" x14ac:dyDescent="0.25">
      <c r="A225" s="122" t="s">
        <v>19</v>
      </c>
      <c r="B225" s="124">
        <f t="shared" ref="B225:D227" si="49">$B$120*B184+(1-$B$120)*(1-B143)</f>
        <v>1</v>
      </c>
      <c r="C225" s="124">
        <f t="shared" si="49"/>
        <v>0.46144000000000018</v>
      </c>
      <c r="D225" s="124">
        <f t="shared" si="49"/>
        <v>0.34143999999999985</v>
      </c>
    </row>
    <row r="226" spans="1:4" x14ac:dyDescent="0.25">
      <c r="B226" s="124">
        <f t="shared" si="49"/>
        <v>0.46144000000000018</v>
      </c>
      <c r="C226" s="124">
        <f t="shared" si="49"/>
        <v>1</v>
      </c>
      <c r="D226" s="124">
        <f t="shared" si="49"/>
        <v>0</v>
      </c>
    </row>
    <row r="227" spans="1:4" x14ac:dyDescent="0.25">
      <c r="B227" s="124">
        <f t="shared" si="49"/>
        <v>0.34143999999999985</v>
      </c>
      <c r="C227" s="124">
        <f t="shared" si="49"/>
        <v>0</v>
      </c>
      <c r="D227" s="124">
        <f t="shared" si="49"/>
        <v>1</v>
      </c>
    </row>
    <row r="229" spans="1:4" x14ac:dyDescent="0.25">
      <c r="A229" s="122" t="s">
        <v>20</v>
      </c>
      <c r="B229" s="124">
        <f t="shared" ref="B229:D231" si="50">$B$120*B188+(1-$B$120)*(1-B147)</f>
        <v>1</v>
      </c>
      <c r="C229" s="124">
        <f t="shared" si="50"/>
        <v>0.33524655086665817</v>
      </c>
      <c r="D229" s="124">
        <f t="shared" si="50"/>
        <v>0.4682937611670871</v>
      </c>
    </row>
    <row r="230" spans="1:4" x14ac:dyDescent="0.25">
      <c r="B230" s="124">
        <f t="shared" si="50"/>
        <v>0.33524655086665817</v>
      </c>
      <c r="C230" s="124">
        <f t="shared" si="50"/>
        <v>1</v>
      </c>
      <c r="D230" s="124">
        <f t="shared" si="50"/>
        <v>0</v>
      </c>
    </row>
    <row r="231" spans="1:4" x14ac:dyDescent="0.25">
      <c r="B231" s="124">
        <f t="shared" si="50"/>
        <v>0.4682937611670871</v>
      </c>
      <c r="C231" s="124">
        <f t="shared" si="50"/>
        <v>0</v>
      </c>
      <c r="D231" s="124">
        <f t="shared" si="50"/>
        <v>1</v>
      </c>
    </row>
    <row r="233" spans="1:4" x14ac:dyDescent="0.25">
      <c r="A233" s="122" t="s">
        <v>21</v>
      </c>
      <c r="B233" s="124">
        <f t="shared" ref="B233:D235" si="51">$B$120*B192+(1-$B$120)*(1-B151)</f>
        <v>1</v>
      </c>
      <c r="C233" s="124">
        <f t="shared" si="51"/>
        <v>0.97887970615243458</v>
      </c>
      <c r="D233" s="124">
        <f t="shared" si="51"/>
        <v>0</v>
      </c>
    </row>
    <row r="234" spans="1:4" x14ac:dyDescent="0.25">
      <c r="B234" s="124">
        <f t="shared" si="51"/>
        <v>0.97887970615243458</v>
      </c>
      <c r="C234" s="124">
        <f t="shared" si="51"/>
        <v>1</v>
      </c>
      <c r="D234" s="124">
        <f t="shared" si="51"/>
        <v>9.1827364554631762E-3</v>
      </c>
    </row>
    <row r="235" spans="1:4" x14ac:dyDescent="0.25">
      <c r="B235" s="124">
        <f t="shared" si="51"/>
        <v>0</v>
      </c>
      <c r="C235" s="124">
        <f t="shared" si="51"/>
        <v>9.1827364554631762E-3</v>
      </c>
      <c r="D235" s="124">
        <f t="shared" si="51"/>
        <v>1</v>
      </c>
    </row>
    <row r="237" spans="1:4" x14ac:dyDescent="0.25">
      <c r="A237" s="122" t="s">
        <v>23</v>
      </c>
      <c r="B237" s="124">
        <f t="shared" ref="B237:D239" si="52">$B$120*B196+(1-$B$120)*(1-B155)</f>
        <v>1</v>
      </c>
      <c r="C237" s="124">
        <f t="shared" si="52"/>
        <v>0.29626941500943532</v>
      </c>
      <c r="D237" s="124">
        <f t="shared" si="52"/>
        <v>0.51313688488895337</v>
      </c>
    </row>
    <row r="238" spans="1:4" x14ac:dyDescent="0.25">
      <c r="B238" s="124">
        <f t="shared" si="52"/>
        <v>0.29626941500943532</v>
      </c>
      <c r="C238" s="124">
        <f t="shared" si="52"/>
        <v>1</v>
      </c>
      <c r="D238" s="124">
        <f t="shared" si="52"/>
        <v>0</v>
      </c>
    </row>
    <row r="239" spans="1:4" x14ac:dyDescent="0.25">
      <c r="B239" s="124">
        <f t="shared" si="52"/>
        <v>0.51313688488895337</v>
      </c>
      <c r="C239" s="124">
        <f t="shared" si="52"/>
        <v>0</v>
      </c>
      <c r="D239" s="124">
        <f t="shared" si="52"/>
        <v>1</v>
      </c>
    </row>
    <row r="241" spans="1:7" x14ac:dyDescent="0.25">
      <c r="A241" s="122" t="s">
        <v>24</v>
      </c>
      <c r="B241" s="124">
        <f t="shared" ref="B241:D243" si="53">$B$120*B200+(1-$B$120)*(1-B159)</f>
        <v>1</v>
      </c>
      <c r="C241" s="124">
        <f t="shared" si="53"/>
        <v>0</v>
      </c>
      <c r="D241" s="124">
        <f t="shared" si="53"/>
        <v>0.4</v>
      </c>
    </row>
    <row r="242" spans="1:7" x14ac:dyDescent="0.25">
      <c r="B242" s="124">
        <f t="shared" si="53"/>
        <v>0</v>
      </c>
      <c r="C242" s="124">
        <f t="shared" si="53"/>
        <v>1</v>
      </c>
      <c r="D242" s="124">
        <f t="shared" si="53"/>
        <v>0.4</v>
      </c>
    </row>
    <row r="243" spans="1:7" x14ac:dyDescent="0.25">
      <c r="B243" s="124">
        <f t="shared" si="53"/>
        <v>0.4</v>
      </c>
      <c r="C243" s="124">
        <f t="shared" si="53"/>
        <v>0.4</v>
      </c>
      <c r="D243" s="124">
        <f t="shared" si="53"/>
        <v>1</v>
      </c>
    </row>
    <row r="245" spans="1:7" x14ac:dyDescent="0.25">
      <c r="A245" s="1" t="s">
        <v>210</v>
      </c>
    </row>
    <row r="246" spans="1:7" x14ac:dyDescent="0.25">
      <c r="A246" s="86" t="s">
        <v>113</v>
      </c>
      <c r="B246" s="3" t="s">
        <v>107</v>
      </c>
      <c r="C246" s="3" t="s">
        <v>108</v>
      </c>
      <c r="D246" s="3" t="s">
        <v>134</v>
      </c>
    </row>
    <row r="247" spans="1:7" x14ac:dyDescent="0.25">
      <c r="A247" s="41" t="s">
        <v>25</v>
      </c>
      <c r="B247" s="123">
        <f>B205*$C$113+B206*$C$114+B207*$C$115</f>
        <v>0.36907558082540937</v>
      </c>
      <c r="C247" s="123">
        <f t="shared" ref="C247:D247" si="54">C205*$C$113+C206*$C$114+C207*$C$115</f>
        <v>0.60771100872463479</v>
      </c>
      <c r="D247" s="123">
        <f t="shared" si="54"/>
        <v>0.57897657092441912</v>
      </c>
      <c r="E247" s="128"/>
      <c r="F247" s="128"/>
      <c r="G247" s="128"/>
    </row>
    <row r="248" spans="1:7" x14ac:dyDescent="0.25">
      <c r="A248" s="41" t="s">
        <v>14</v>
      </c>
      <c r="B248" s="123">
        <f>B209*$C$113+B209*$C$114+B211*$C$115</f>
        <v>0.83111111111111102</v>
      </c>
      <c r="C248" s="123">
        <f t="shared" ref="C248:D248" si="55">C209*$C$113+C209*$C$114+C211*$C$115</f>
        <v>0.14666666666666675</v>
      </c>
      <c r="D248" s="123">
        <f t="shared" si="55"/>
        <v>0.74666666666666659</v>
      </c>
      <c r="E248" s="128"/>
      <c r="F248" s="128"/>
      <c r="G248" s="128"/>
    </row>
    <row r="249" spans="1:7" x14ac:dyDescent="0.25">
      <c r="A249" s="41" t="s">
        <v>15</v>
      </c>
      <c r="B249" s="123">
        <f>B213*$C$113+B214*$C$114+B215*$C$115</f>
        <v>0.55077653590474096</v>
      </c>
      <c r="C249" s="123">
        <f t="shared" ref="C249:D249" si="56">C213*$C$113+C214*$C$114+C215*$C$115</f>
        <v>0.38325516838337359</v>
      </c>
      <c r="D249" s="123">
        <f t="shared" si="56"/>
        <v>0.65052377821608598</v>
      </c>
      <c r="E249" s="128"/>
      <c r="F249" s="128"/>
      <c r="G249" s="128"/>
    </row>
    <row r="250" spans="1:7" x14ac:dyDescent="0.25">
      <c r="A250" s="41" t="s">
        <v>16</v>
      </c>
      <c r="B250" s="123">
        <f>B217*$C$113+B218*$C$114+B219*$C$115</f>
        <v>0.5714793051999485</v>
      </c>
      <c r="C250" s="123">
        <f t="shared" ref="C250:D250" si="57">C217*$C$113+C218*$C$114+C219*$C$115</f>
        <v>0.4906585127742269</v>
      </c>
      <c r="D250" s="123">
        <f t="shared" si="57"/>
        <v>0.46061559431929117</v>
      </c>
      <c r="E250" s="128"/>
      <c r="F250" s="128"/>
      <c r="G250" s="128"/>
    </row>
    <row r="251" spans="1:7" x14ac:dyDescent="0.25">
      <c r="A251" s="41" t="s">
        <v>18</v>
      </c>
      <c r="B251" s="123">
        <f>B221*$C$113+B222*$C$114+B223*$C$115</f>
        <v>0.62363830544677823</v>
      </c>
      <c r="C251" s="123">
        <f t="shared" ref="C251:D251" si="58">C221*$C$113+C222*$C$114+C223*$C$115</f>
        <v>0.35137059451762193</v>
      </c>
      <c r="D251" s="123">
        <f t="shared" si="58"/>
        <v>0.60420078319686721</v>
      </c>
      <c r="E251" s="128"/>
      <c r="F251" s="128"/>
      <c r="G251" s="128"/>
    </row>
    <row r="252" spans="1:7" x14ac:dyDescent="0.25">
      <c r="A252" s="41" t="s">
        <v>19</v>
      </c>
      <c r="B252" s="123">
        <f>B225*$C$113+B226*$C$114+B227*$C$115</f>
        <v>0.57500799999999996</v>
      </c>
      <c r="C252" s="123">
        <f t="shared" ref="C252:D252" si="59">C225*$C$113+C226*$C$114+C227*$C$115</f>
        <v>0.43843200000000004</v>
      </c>
      <c r="D252" s="123">
        <f t="shared" si="59"/>
        <v>0.50243199999999999</v>
      </c>
      <c r="E252" s="128"/>
      <c r="F252" s="128"/>
      <c r="G252" s="128"/>
    </row>
    <row r="253" spans="1:7" x14ac:dyDescent="0.25">
      <c r="A253" s="41" t="s">
        <v>20</v>
      </c>
      <c r="B253" s="123">
        <f>B229*$C$113+B230*$C$114+B231*$C$115</f>
        <v>0.58789146972683226</v>
      </c>
      <c r="C253" s="123">
        <f t="shared" ref="C253:D253" si="60">C229*$C$113+C230*$C$114+C231*$C$115</f>
        <v>0.40057396525999744</v>
      </c>
      <c r="D253" s="123">
        <f t="shared" si="60"/>
        <v>0.54048812835012616</v>
      </c>
      <c r="E253" s="128"/>
      <c r="F253" s="128"/>
      <c r="G253" s="128"/>
    </row>
    <row r="254" spans="1:7" x14ac:dyDescent="0.25">
      <c r="A254" s="41" t="s">
        <v>21</v>
      </c>
      <c r="B254" s="123">
        <f>B233*$C$113+B234*$C$114+B235*$C$115</f>
        <v>0.59366391184573031</v>
      </c>
      <c r="C254" s="123">
        <f t="shared" ref="C254:D254" si="61">C233*$C$113+C234*$C$114+C235*$C$115</f>
        <v>0.59733700642791554</v>
      </c>
      <c r="D254" s="123">
        <f t="shared" si="61"/>
        <v>0.402754820936639</v>
      </c>
      <c r="E254" s="128"/>
      <c r="F254" s="128"/>
      <c r="G254" s="128"/>
    </row>
    <row r="255" spans="1:7" x14ac:dyDescent="0.25">
      <c r="A255" s="41" t="s">
        <v>23</v>
      </c>
      <c r="B255" s="123">
        <f>B237*$C$113+B238*$C$114+B239*$C$115</f>
        <v>0.59413557845841192</v>
      </c>
      <c r="C255" s="123">
        <f t="shared" ref="C255:D255" si="62">C237*$C$113+C238*$C$114+C239*$C$115</f>
        <v>0.38888082450283057</v>
      </c>
      <c r="D255" s="123">
        <f t="shared" si="62"/>
        <v>0.55394106546668609</v>
      </c>
      <c r="E255" s="128"/>
      <c r="F255" s="128"/>
      <c r="G255" s="128"/>
    </row>
    <row r="256" spans="1:7" x14ac:dyDescent="0.25">
      <c r="A256" s="41" t="s">
        <v>24</v>
      </c>
      <c r="B256" s="123">
        <f>B241*$C$113+B242*$C$114+B243*$C$115</f>
        <v>0.46</v>
      </c>
      <c r="C256" s="123">
        <f t="shared" ref="C256:D256" si="63">C241*$C$113+C242*$C$114+C243*$C$115</f>
        <v>0.46</v>
      </c>
      <c r="D256" s="123">
        <f t="shared" si="63"/>
        <v>0.64</v>
      </c>
      <c r="E256" s="128"/>
      <c r="F256" s="128"/>
      <c r="G256" s="128"/>
    </row>
    <row r="258" spans="1:8" x14ac:dyDescent="0.25">
      <c r="A258" s="1" t="s">
        <v>211</v>
      </c>
    </row>
    <row r="259" spans="1:8" x14ac:dyDescent="0.25">
      <c r="A259" s="86" t="s">
        <v>113</v>
      </c>
      <c r="B259" s="3" t="s">
        <v>107</v>
      </c>
      <c r="C259" s="3" t="s">
        <v>108</v>
      </c>
      <c r="D259" s="3" t="s">
        <v>134</v>
      </c>
      <c r="E259" s="126" t="s">
        <v>159</v>
      </c>
    </row>
    <row r="260" spans="1:8" x14ac:dyDescent="0.25">
      <c r="A260" s="41" t="s">
        <v>25</v>
      </c>
      <c r="B260" s="123">
        <f>B247/SUM($B247:$D247)</f>
        <v>0.23723121243779283</v>
      </c>
      <c r="C260" s="123">
        <f>C247/SUM($B247:$D247)</f>
        <v>0.39061923058989284</v>
      </c>
      <c r="D260" s="123">
        <f t="shared" ref="D260" si="64">D247/SUM($B247:$D247)</f>
        <v>0.37214955697231433</v>
      </c>
      <c r="E260" s="125">
        <f>SUM(B260:D260)</f>
        <v>1</v>
      </c>
      <c r="F260" s="128"/>
      <c r="G260" s="128"/>
      <c r="H260" s="128"/>
    </row>
    <row r="261" spans="1:8" x14ac:dyDescent="0.25">
      <c r="A261" s="41" t="s">
        <v>14</v>
      </c>
      <c r="B261" s="123">
        <f t="shared" ref="B261:D269" si="65">B248/SUM($B248:$D248)</f>
        <v>0.48195876288659789</v>
      </c>
      <c r="C261" s="123">
        <f t="shared" si="65"/>
        <v>8.5051546391752622E-2</v>
      </c>
      <c r="D261" s="123">
        <f t="shared" si="65"/>
        <v>0.43298969072164945</v>
      </c>
      <c r="E261" s="125">
        <f t="shared" ref="E261:E269" si="66">SUM(B261:D261)</f>
        <v>1</v>
      </c>
      <c r="F261" s="128"/>
      <c r="G261" s="128"/>
      <c r="H261" s="128"/>
    </row>
    <row r="262" spans="1:8" x14ac:dyDescent="0.25">
      <c r="A262" s="41" t="s">
        <v>15</v>
      </c>
      <c r="B262" s="123">
        <f t="shared" si="65"/>
        <v>0.34759056529488286</v>
      </c>
      <c r="C262" s="123">
        <f t="shared" si="65"/>
        <v>0.24186920093052508</v>
      </c>
      <c r="D262" s="123">
        <f t="shared" si="65"/>
        <v>0.41054023377459203</v>
      </c>
      <c r="E262" s="125">
        <f t="shared" si="66"/>
        <v>1</v>
      </c>
      <c r="F262" s="128"/>
      <c r="G262" s="128"/>
      <c r="H262" s="128"/>
    </row>
    <row r="263" spans="1:8" x14ac:dyDescent="0.25">
      <c r="A263" s="41" t="s">
        <v>16</v>
      </c>
      <c r="B263" s="123">
        <f t="shared" si="65"/>
        <v>0.37529339982842375</v>
      </c>
      <c r="C263" s="123">
        <f t="shared" si="65"/>
        <v>0.32221796964173655</v>
      </c>
      <c r="D263" s="123">
        <f t="shared" si="65"/>
        <v>0.30248863052983976</v>
      </c>
      <c r="E263" s="125">
        <f t="shared" si="66"/>
        <v>1</v>
      </c>
      <c r="F263" s="128"/>
      <c r="G263" s="128"/>
      <c r="H263" s="128"/>
    </row>
    <row r="264" spans="1:8" x14ac:dyDescent="0.25">
      <c r="A264" s="41" t="s">
        <v>18</v>
      </c>
      <c r="B264" s="123">
        <f t="shared" si="65"/>
        <v>0.39490532010820556</v>
      </c>
      <c r="C264" s="123">
        <f t="shared" si="65"/>
        <v>0.22249774571686204</v>
      </c>
      <c r="D264" s="123">
        <f t="shared" si="65"/>
        <v>0.38259693417493235</v>
      </c>
      <c r="E264" s="125">
        <f t="shared" si="66"/>
        <v>0.99999999999999989</v>
      </c>
      <c r="F264" s="128"/>
      <c r="G264" s="128"/>
      <c r="H264" s="128"/>
    </row>
    <row r="265" spans="1:8" x14ac:dyDescent="0.25">
      <c r="A265" s="41" t="s">
        <v>19</v>
      </c>
      <c r="B265" s="123">
        <f t="shared" si="65"/>
        <v>0.37932490342192476</v>
      </c>
      <c r="C265" s="123">
        <f t="shared" si="65"/>
        <v>0.28922758649806846</v>
      </c>
      <c r="D265" s="123">
        <f t="shared" si="65"/>
        <v>0.33144751008000672</v>
      </c>
      <c r="E265" s="125">
        <f t="shared" si="66"/>
        <v>1</v>
      </c>
      <c r="F265" s="128"/>
      <c r="G265" s="128"/>
      <c r="H265" s="128"/>
    </row>
    <row r="266" spans="1:8" x14ac:dyDescent="0.25">
      <c r="A266" s="41" t="s">
        <v>20</v>
      </c>
      <c r="B266" s="123">
        <f t="shared" si="65"/>
        <v>0.38450577167546768</v>
      </c>
      <c r="C266" s="123">
        <f t="shared" si="65"/>
        <v>0.26199223760971585</v>
      </c>
      <c r="D266" s="123">
        <f t="shared" si="65"/>
        <v>0.35350199071481653</v>
      </c>
      <c r="E266" s="125">
        <f t="shared" si="66"/>
        <v>1</v>
      </c>
      <c r="F266" s="128"/>
      <c r="G266" s="128"/>
      <c r="H266" s="128"/>
    </row>
    <row r="267" spans="1:8" x14ac:dyDescent="0.25">
      <c r="A267" s="41" t="s">
        <v>21</v>
      </c>
      <c r="B267" s="123">
        <f t="shared" si="65"/>
        <v>0.37249366213413243</v>
      </c>
      <c r="C267" s="123">
        <f t="shared" si="65"/>
        <v>0.37479834063148187</v>
      </c>
      <c r="D267" s="123">
        <f t="shared" si="65"/>
        <v>0.2527079972343857</v>
      </c>
      <c r="E267" s="125">
        <f t="shared" si="66"/>
        <v>1</v>
      </c>
      <c r="F267" s="128"/>
      <c r="G267" s="128"/>
      <c r="H267" s="128"/>
    </row>
    <row r="268" spans="1:8" x14ac:dyDescent="0.25">
      <c r="A268" s="41" t="s">
        <v>23</v>
      </c>
      <c r="B268" s="123">
        <f t="shared" si="65"/>
        <v>0.38656605056620164</v>
      </c>
      <c r="C268" s="123">
        <f t="shared" si="65"/>
        <v>0.25301989969871835</v>
      </c>
      <c r="D268" s="123">
        <f t="shared" si="65"/>
        <v>0.36041404973508001</v>
      </c>
      <c r="E268" s="125">
        <f t="shared" si="66"/>
        <v>1</v>
      </c>
      <c r="F268" s="128"/>
      <c r="G268" s="128"/>
      <c r="H268" s="128"/>
    </row>
    <row r="269" spans="1:8" x14ac:dyDescent="0.25">
      <c r="A269" s="41" t="s">
        <v>24</v>
      </c>
      <c r="B269" s="123">
        <f t="shared" si="65"/>
        <v>0.29487179487179488</v>
      </c>
      <c r="C269" s="123">
        <f t="shared" si="65"/>
        <v>0.29487179487179488</v>
      </c>
      <c r="D269" s="123">
        <f t="shared" si="65"/>
        <v>0.41025641025641024</v>
      </c>
      <c r="E269" s="125">
        <f t="shared" si="66"/>
        <v>1</v>
      </c>
      <c r="F269" s="128"/>
      <c r="G269" s="128"/>
      <c r="H269" s="128"/>
    </row>
    <row r="271" spans="1:8" x14ac:dyDescent="0.25">
      <c r="A271" s="1" t="s">
        <v>212</v>
      </c>
    </row>
    <row r="272" spans="1:8" x14ac:dyDescent="0.25">
      <c r="A272" s="86" t="s">
        <v>113</v>
      </c>
      <c r="B272" s="86" t="s">
        <v>114</v>
      </c>
      <c r="C272" s="86" t="s">
        <v>115</v>
      </c>
      <c r="D272" s="86" t="s">
        <v>116</v>
      </c>
    </row>
    <row r="273" spans="1:7" x14ac:dyDescent="0.25">
      <c r="A273" s="41" t="s">
        <v>25</v>
      </c>
      <c r="B273" s="2">
        <f t="shared" ref="B273:B282" si="67">J14</f>
        <v>14.15</v>
      </c>
      <c r="C273" s="2">
        <f t="shared" ref="C273:C282" si="68">J44</f>
        <v>12.425000000000001</v>
      </c>
      <c r="D273" s="2">
        <f t="shared" ref="D273:D282" si="69">J74</f>
        <v>11.625</v>
      </c>
    </row>
    <row r="274" spans="1:7" x14ac:dyDescent="0.25">
      <c r="A274" s="41" t="s">
        <v>14</v>
      </c>
      <c r="B274" s="2">
        <f t="shared" si="67"/>
        <v>6.6000000000000005</v>
      </c>
      <c r="C274" s="2">
        <f t="shared" si="68"/>
        <v>8.25</v>
      </c>
      <c r="D274" s="2">
        <f t="shared" si="69"/>
        <v>5.7750000000000004</v>
      </c>
    </row>
    <row r="275" spans="1:7" x14ac:dyDescent="0.25">
      <c r="A275" s="41" t="s">
        <v>15</v>
      </c>
      <c r="B275" s="2">
        <f t="shared" si="67"/>
        <v>9.9</v>
      </c>
      <c r="C275" s="2">
        <f t="shared" si="68"/>
        <v>15.75</v>
      </c>
      <c r="D275" s="2">
        <f t="shared" si="69"/>
        <v>11.600000000000001</v>
      </c>
    </row>
    <row r="276" spans="1:7" x14ac:dyDescent="0.25">
      <c r="A276" s="41" t="s">
        <v>16</v>
      </c>
      <c r="B276" s="2">
        <f t="shared" si="67"/>
        <v>12.450000000000001</v>
      </c>
      <c r="C276" s="2">
        <f t="shared" si="68"/>
        <v>14.1</v>
      </c>
      <c r="D276" s="2">
        <f t="shared" si="69"/>
        <v>8.2750000000000004</v>
      </c>
    </row>
    <row r="277" spans="1:7" x14ac:dyDescent="0.25">
      <c r="A277" s="41" t="s">
        <v>18</v>
      </c>
      <c r="B277" s="2">
        <f t="shared" si="67"/>
        <v>10.75</v>
      </c>
      <c r="C277" s="2">
        <f t="shared" si="68"/>
        <v>15.75</v>
      </c>
      <c r="D277" s="2">
        <f t="shared" si="69"/>
        <v>9.125</v>
      </c>
    </row>
    <row r="278" spans="1:7" x14ac:dyDescent="0.25">
      <c r="A278" s="41" t="s">
        <v>19</v>
      </c>
      <c r="B278" s="2">
        <f t="shared" si="67"/>
        <v>10.8</v>
      </c>
      <c r="C278" s="2">
        <f t="shared" si="68"/>
        <v>14.1</v>
      </c>
      <c r="D278" s="2">
        <f t="shared" si="69"/>
        <v>6.6</v>
      </c>
    </row>
    <row r="279" spans="1:7" x14ac:dyDescent="0.25">
      <c r="A279" s="41" t="s">
        <v>20</v>
      </c>
      <c r="B279" s="2">
        <f t="shared" si="67"/>
        <v>10.8</v>
      </c>
      <c r="C279" s="2">
        <f t="shared" si="68"/>
        <v>14.1</v>
      </c>
      <c r="D279" s="2">
        <f t="shared" si="69"/>
        <v>8.2750000000000004</v>
      </c>
    </row>
    <row r="280" spans="1:7" x14ac:dyDescent="0.25">
      <c r="A280" s="41" t="s">
        <v>21</v>
      </c>
      <c r="B280" s="2">
        <f t="shared" si="67"/>
        <v>12.45</v>
      </c>
      <c r="C280" s="2">
        <f t="shared" si="68"/>
        <v>12.425000000000001</v>
      </c>
      <c r="D280" s="2">
        <f t="shared" si="69"/>
        <v>10.8</v>
      </c>
    </row>
    <row r="281" spans="1:7" x14ac:dyDescent="0.25">
      <c r="A281" s="41" t="s">
        <v>23</v>
      </c>
      <c r="B281" s="2">
        <f t="shared" si="67"/>
        <v>10.75</v>
      </c>
      <c r="C281" s="2">
        <f t="shared" si="68"/>
        <v>13.275</v>
      </c>
      <c r="D281" s="2">
        <f t="shared" si="69"/>
        <v>9.125</v>
      </c>
    </row>
    <row r="282" spans="1:7" x14ac:dyDescent="0.25">
      <c r="A282" s="41" t="s">
        <v>24</v>
      </c>
      <c r="B282" s="2">
        <f t="shared" si="67"/>
        <v>8.2750000000000004</v>
      </c>
      <c r="C282" s="2">
        <f t="shared" si="68"/>
        <v>13.275</v>
      </c>
      <c r="D282" s="2">
        <f t="shared" si="69"/>
        <v>10.775</v>
      </c>
    </row>
    <row r="284" spans="1:7" x14ac:dyDescent="0.25">
      <c r="A284" s="1" t="s">
        <v>213</v>
      </c>
    </row>
    <row r="285" spans="1:7" ht="75" x14ac:dyDescent="0.25">
      <c r="A285" s="86" t="s">
        <v>113</v>
      </c>
      <c r="B285" s="86" t="s">
        <v>255</v>
      </c>
      <c r="C285" s="86" t="s">
        <v>256</v>
      </c>
      <c r="D285" s="86" t="s">
        <v>254</v>
      </c>
      <c r="E285" s="86" t="s">
        <v>167</v>
      </c>
      <c r="F285" s="86" t="s">
        <v>249</v>
      </c>
      <c r="G285" s="86" t="s">
        <v>250</v>
      </c>
    </row>
    <row r="286" spans="1:7" x14ac:dyDescent="0.25">
      <c r="A286" s="41" t="s">
        <v>25</v>
      </c>
      <c r="B286" s="129">
        <f>B273*B260</f>
        <v>3.3568216559947688</v>
      </c>
      <c r="C286" s="129">
        <f t="shared" ref="C286:D286" si="70">C273*C260</f>
        <v>4.8534439400794191</v>
      </c>
      <c r="D286" s="129">
        <f t="shared" si="70"/>
        <v>4.3262385998031538</v>
      </c>
      <c r="E286" s="129">
        <f>B286+C286+D286</f>
        <v>12.536504195877342</v>
      </c>
      <c r="F286" s="129">
        <v>12.67773870234074</v>
      </c>
      <c r="G286" s="129">
        <v>12.659453791469193</v>
      </c>
    </row>
    <row r="287" spans="1:7" x14ac:dyDescent="0.25">
      <c r="A287" s="41" t="s">
        <v>14</v>
      </c>
      <c r="B287" s="129">
        <f t="shared" ref="B287:D287" si="71">B274*B261</f>
        <v>3.1809278350515462</v>
      </c>
      <c r="C287" s="129">
        <f t="shared" si="71"/>
        <v>0.70167525773195916</v>
      </c>
      <c r="D287" s="129">
        <f t="shared" si="71"/>
        <v>2.5005154639175258</v>
      </c>
      <c r="E287" s="129">
        <f t="shared" ref="E287:E295" si="72">B287+C287+D287</f>
        <v>6.3831185567010316</v>
      </c>
      <c r="F287" s="129">
        <v>6.8145000000000007</v>
      </c>
      <c r="G287" s="129">
        <v>6.8025638297872337</v>
      </c>
    </row>
    <row r="288" spans="1:7" x14ac:dyDescent="0.25">
      <c r="A288" s="41" t="s">
        <v>15</v>
      </c>
      <c r="B288" s="129">
        <f t="shared" ref="B288:D288" si="73">B275*B262</f>
        <v>3.4411465964193404</v>
      </c>
      <c r="C288" s="129">
        <f t="shared" si="73"/>
        <v>3.80943991465577</v>
      </c>
      <c r="D288" s="129">
        <f t="shared" si="73"/>
        <v>4.7622667117852684</v>
      </c>
      <c r="E288" s="129">
        <f t="shared" si="72"/>
        <v>12.012853222860379</v>
      </c>
      <c r="F288" s="129">
        <v>12.319369394929994</v>
      </c>
      <c r="G288" s="129">
        <v>12.313911392405064</v>
      </c>
    </row>
    <row r="289" spans="1:7" x14ac:dyDescent="0.25">
      <c r="A289" s="41" t="s">
        <v>16</v>
      </c>
      <c r="B289" s="129">
        <f t="shared" ref="B289:D289" si="74">B276*B263</f>
        <v>4.6724028278638761</v>
      </c>
      <c r="C289" s="129">
        <f t="shared" si="74"/>
        <v>4.5432733719484855</v>
      </c>
      <c r="D289" s="129">
        <f t="shared" si="74"/>
        <v>2.5030934176344242</v>
      </c>
      <c r="E289" s="129">
        <f t="shared" si="72"/>
        <v>11.718769617446785</v>
      </c>
      <c r="F289" s="129">
        <v>11.586481595460414</v>
      </c>
      <c r="G289" s="129">
        <v>11.463419943820226</v>
      </c>
    </row>
    <row r="290" spans="1:7" x14ac:dyDescent="0.25">
      <c r="A290" s="41" t="s">
        <v>18</v>
      </c>
      <c r="B290" s="129">
        <f t="shared" ref="B290:D290" si="75">B277*B264</f>
        <v>4.2452321911632094</v>
      </c>
      <c r="C290" s="129">
        <f t="shared" si="75"/>
        <v>3.5043394950405773</v>
      </c>
      <c r="D290" s="129">
        <f t="shared" si="75"/>
        <v>3.4911970243462576</v>
      </c>
      <c r="E290" s="129">
        <f t="shared" si="72"/>
        <v>11.240768710550045</v>
      </c>
      <c r="F290" s="129">
        <v>11.656913693599162</v>
      </c>
      <c r="G290" s="129">
        <v>11.622316176470587</v>
      </c>
    </row>
    <row r="291" spans="1:7" x14ac:dyDescent="0.25">
      <c r="A291" s="41" t="s">
        <v>19</v>
      </c>
      <c r="B291" s="129">
        <f t="shared" ref="B291:D291" si="76">B278*B265</f>
        <v>4.0967089569567881</v>
      </c>
      <c r="C291" s="129">
        <f t="shared" si="76"/>
        <v>4.0781089696227655</v>
      </c>
      <c r="D291" s="129">
        <f t="shared" si="76"/>
        <v>2.1875535665280443</v>
      </c>
      <c r="E291" s="129">
        <f t="shared" si="72"/>
        <v>10.362371493107599</v>
      </c>
      <c r="F291" s="129">
        <v>10.449163356822549</v>
      </c>
      <c r="G291" s="129">
        <v>10.293906976744186</v>
      </c>
    </row>
    <row r="292" spans="1:7" x14ac:dyDescent="0.25">
      <c r="A292" s="41" t="s">
        <v>20</v>
      </c>
      <c r="B292" s="129">
        <f t="shared" ref="B292:D292" si="77">B279*B266</f>
        <v>4.1526623340950515</v>
      </c>
      <c r="C292" s="129">
        <f t="shared" si="77"/>
        <v>3.6940905502969934</v>
      </c>
      <c r="D292" s="129">
        <f t="shared" si="77"/>
        <v>2.9252289731651069</v>
      </c>
      <c r="E292" s="129">
        <f t="shared" si="72"/>
        <v>10.771981857557151</v>
      </c>
      <c r="F292" s="129">
        <v>10.940344509006392</v>
      </c>
      <c r="G292" s="129">
        <v>10.874425561797752</v>
      </c>
    </row>
    <row r="293" spans="1:7" x14ac:dyDescent="0.25">
      <c r="A293" s="41" t="s">
        <v>21</v>
      </c>
      <c r="B293" s="129">
        <f t="shared" ref="B293:D293" si="78">B280*B267</f>
        <v>4.6375460935699486</v>
      </c>
      <c r="C293" s="129">
        <f t="shared" si="78"/>
        <v>4.6568693823461622</v>
      </c>
      <c r="D293" s="129">
        <f t="shared" si="78"/>
        <v>2.7292463701313658</v>
      </c>
      <c r="E293" s="129">
        <f t="shared" si="72"/>
        <v>12.023661846047476</v>
      </c>
      <c r="F293" s="129">
        <v>11.86352418264635</v>
      </c>
      <c r="G293" s="129">
        <v>11.83417576791809</v>
      </c>
    </row>
    <row r="294" spans="1:7" x14ac:dyDescent="0.25">
      <c r="A294" s="41" t="s">
        <v>23</v>
      </c>
      <c r="B294" s="129">
        <f t="shared" ref="B294:D294" si="79">B281*B268</f>
        <v>4.1555850435866679</v>
      </c>
      <c r="C294" s="129">
        <f t="shared" si="79"/>
        <v>3.3588391685004861</v>
      </c>
      <c r="D294" s="129">
        <f t="shared" si="79"/>
        <v>3.2887782038326052</v>
      </c>
      <c r="E294" s="129">
        <f t="shared" si="72"/>
        <v>10.80320241591976</v>
      </c>
      <c r="F294" s="129">
        <v>10.957194855926748</v>
      </c>
      <c r="G294" s="129">
        <v>10.92171437740693</v>
      </c>
    </row>
    <row r="295" spans="1:7" x14ac:dyDescent="0.25">
      <c r="A295" s="41" t="s">
        <v>24</v>
      </c>
      <c r="B295" s="129">
        <f t="shared" ref="B295:D295" si="80">B282*B269</f>
        <v>2.4400641025641026</v>
      </c>
      <c r="C295" s="129">
        <f t="shared" si="80"/>
        <v>3.914423076923077</v>
      </c>
      <c r="D295" s="129">
        <f t="shared" si="80"/>
        <v>4.4205128205128208</v>
      </c>
      <c r="E295" s="129">
        <f t="shared" si="72"/>
        <v>10.775</v>
      </c>
      <c r="F295" s="129">
        <v>10.78987555113917</v>
      </c>
      <c r="G295" s="129">
        <v>10.774999999999999</v>
      </c>
    </row>
    <row r="297" spans="1:7" x14ac:dyDescent="0.25">
      <c r="A297" s="1" t="s">
        <v>217</v>
      </c>
    </row>
    <row r="298" spans="1:7" ht="30" x14ac:dyDescent="0.25">
      <c r="A298" s="210" t="s">
        <v>113</v>
      </c>
      <c r="B298" s="210" t="s">
        <v>167</v>
      </c>
      <c r="C298" s="210" t="s">
        <v>202</v>
      </c>
    </row>
    <row r="299" spans="1:7" x14ac:dyDescent="0.25">
      <c r="A299" s="41" t="s">
        <v>25</v>
      </c>
      <c r="B299" s="124">
        <v>12.536504195877342</v>
      </c>
      <c r="C299" s="124">
        <v>12.537000000000001</v>
      </c>
    </row>
    <row r="300" spans="1:7" x14ac:dyDescent="0.25">
      <c r="A300" s="41" t="s">
        <v>21</v>
      </c>
      <c r="B300" s="124">
        <v>12.023661846047476</v>
      </c>
      <c r="C300" s="124">
        <v>12.023999999999999</v>
      </c>
    </row>
    <row r="301" spans="1:7" x14ac:dyDescent="0.25">
      <c r="A301" s="41" t="s">
        <v>15</v>
      </c>
      <c r="B301" s="124">
        <v>12.012853222860379</v>
      </c>
      <c r="C301" s="124">
        <v>12.013</v>
      </c>
    </row>
    <row r="302" spans="1:7" x14ac:dyDescent="0.25">
      <c r="A302" s="41" t="s">
        <v>16</v>
      </c>
      <c r="B302" s="124">
        <v>11.718769617446785</v>
      </c>
      <c r="C302" s="124">
        <v>11.718999999999999</v>
      </c>
    </row>
    <row r="303" spans="1:7" x14ac:dyDescent="0.25">
      <c r="A303" s="41" t="s">
        <v>18</v>
      </c>
      <c r="B303" s="124">
        <v>11.240768710550045</v>
      </c>
      <c r="C303" s="124">
        <v>11.241</v>
      </c>
    </row>
    <row r="304" spans="1:7" x14ac:dyDescent="0.25">
      <c r="A304" s="41" t="s">
        <v>23</v>
      </c>
      <c r="B304" s="124">
        <v>10.80320241591976</v>
      </c>
      <c r="C304" s="124">
        <v>10.803000000000001</v>
      </c>
    </row>
    <row r="305" spans="1:3" x14ac:dyDescent="0.25">
      <c r="A305" s="41" t="s">
        <v>24</v>
      </c>
      <c r="B305" s="124">
        <v>10.775</v>
      </c>
      <c r="C305" s="124">
        <v>10.775</v>
      </c>
    </row>
    <row r="306" spans="1:3" x14ac:dyDescent="0.25">
      <c r="A306" s="41" t="s">
        <v>20</v>
      </c>
      <c r="B306" s="124">
        <v>10.771981857557151</v>
      </c>
      <c r="C306" s="124">
        <v>10.772</v>
      </c>
    </row>
    <row r="307" spans="1:3" x14ac:dyDescent="0.25">
      <c r="A307" s="41" t="s">
        <v>19</v>
      </c>
      <c r="B307" s="124">
        <v>10.362371493107599</v>
      </c>
      <c r="C307" s="124">
        <v>10.362</v>
      </c>
    </row>
    <row r="308" spans="1:3" x14ac:dyDescent="0.25">
      <c r="A308" s="41" t="s">
        <v>14</v>
      </c>
      <c r="B308" s="124">
        <v>6.3831185567010316</v>
      </c>
      <c r="C308" s="124">
        <v>6.6920000000000002</v>
      </c>
    </row>
  </sheetData>
  <sortState xmlns:xlrd2="http://schemas.microsoft.com/office/spreadsheetml/2017/richdata2" ref="A299:I308">
    <sortCondition descending="1" ref="B299:B308"/>
  </sortState>
  <mergeCells count="20">
    <mergeCell ref="J72:J73"/>
    <mergeCell ref="G12:I12"/>
    <mergeCell ref="J12:J13"/>
    <mergeCell ref="A42:A43"/>
    <mergeCell ref="B42:B43"/>
    <mergeCell ref="C42:C43"/>
    <mergeCell ref="D42:F42"/>
    <mergeCell ref="G42:I42"/>
    <mergeCell ref="J42:J43"/>
    <mergeCell ref="A72:A73"/>
    <mergeCell ref="B72:B73"/>
    <mergeCell ref="C72:C73"/>
    <mergeCell ref="D72:F72"/>
    <mergeCell ref="G72:I72"/>
    <mergeCell ref="A5:E5"/>
    <mergeCell ref="A7:E7"/>
    <mergeCell ref="A12:A13"/>
    <mergeCell ref="B12:B13"/>
    <mergeCell ref="C12:C13"/>
    <mergeCell ref="D12:F12"/>
  </mergeCells>
  <phoneticPr fontId="6" type="noConversion"/>
  <hyperlinks>
    <hyperlink ref="B4" r:id="rId1" xr:uid="{860BBD14-EA19-4D43-A03B-A8A74BF2458C}"/>
    <hyperlink ref="B6" r:id="rId2" xr:uid="{3C0912E8-117D-4633-BD6C-A9D7D7AA443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</vt:i4>
      </vt:variant>
    </vt:vector>
  </HeadingPairs>
  <TitlesOfParts>
    <vt:vector size="13" baseType="lpstr">
      <vt:lpstr>Сравнение оценок</vt:lpstr>
      <vt:lpstr>Fuzzy_MoSCoW_коллект_взвеш ср</vt:lpstr>
      <vt:lpstr>Fuzzy_MoSCoW_коллект_Hsu 1996</vt:lpstr>
      <vt:lpstr>Fuzzy_MoSCoW_коллект_Chen1998</vt:lpstr>
      <vt:lpstr>Fuzzy_MoSCoW_колл_Lu 2006</vt:lpstr>
      <vt:lpstr>Четкий MoSCoW_коллект_взвеш ср</vt:lpstr>
      <vt:lpstr>Четкий MoSCoW_коллект_Hsu 1996</vt:lpstr>
      <vt:lpstr>Четкий MoSCoW_коллект_Chen 1998</vt:lpstr>
      <vt:lpstr>Четкий MoSCoW_коллект_Lu 2006</vt:lpstr>
      <vt:lpstr>'Fuzzy_MoSCoW_коллект_взвеш ср'!_Toc223326463</vt:lpstr>
      <vt:lpstr>'Четкий MoSCoW_коллект_Hsu 1996'!_Toc223326464</vt:lpstr>
      <vt:lpstr>Fuzzy_MoSCoW_коллект_Chen1998!_Toc223326466</vt:lpstr>
      <vt:lpstr>'Fuzzy_MoSCoW_колл_Lu 2006'!_Toc223326467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2026-03-02T04:41:22Z</dcterms:modified>
</cp:coreProperties>
</file>